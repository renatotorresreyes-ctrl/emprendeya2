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Movimientos" sheetId="2" r:id="rId5"/>
    <sheet state="visible" name="Costeo_Precios" sheetId="3" r:id="rId6"/>
    <sheet state="visible" name="Presupuesto" sheetId="4" r:id="rId7"/>
    <sheet state="visible" name="Listas" sheetId="5" r:id="rId8"/>
  </sheets>
  <definedNames/>
  <calcPr/>
</workbook>
</file>

<file path=xl/sharedStrings.xml><?xml version="1.0" encoding="utf-8"?>
<sst xmlns="http://schemas.openxmlformats.org/spreadsheetml/2006/main" count="86" uniqueCount="70">
  <si>
    <t>Panel financiero del emprendimiento</t>
  </si>
  <si>
    <t>Año de análisis</t>
  </si>
  <si>
    <t>Ingresos (₡)</t>
  </si>
  <si>
    <t>Gastos (₡)</t>
  </si>
  <si>
    <t>Utilidad (₡)</t>
  </si>
  <si>
    <t>Margen neto</t>
  </si>
  <si>
    <t>Resumen mensual</t>
  </si>
  <si>
    <t>Mes</t>
  </si>
  <si>
    <t>Indicadores útiles</t>
  </si>
  <si>
    <t>Indicador</t>
  </si>
  <si>
    <t>Resultado</t>
  </si>
  <si>
    <t>Promedio mensual de ingresos</t>
  </si>
  <si>
    <t>Promedio mensual de gastos</t>
  </si>
  <si>
    <t>Meses con utilidad negativa</t>
  </si>
  <si>
    <t>Registro de movimientos financieros</t>
  </si>
  <si>
    <t>Registre únicamente movimientos del negocio. Mantener las finanzas personales separadas permite conocer la rentabilidad real.</t>
  </si>
  <si>
    <t>Fecha</t>
  </si>
  <si>
    <t>Tipo</t>
  </si>
  <si>
    <t>Categoría</t>
  </si>
  <si>
    <t>Descripción</t>
  </si>
  <si>
    <t>Medio de pago</t>
  </si>
  <si>
    <t>Fijo / Variable</t>
  </si>
  <si>
    <t>Monto (₡)</t>
  </si>
  <si>
    <t>Nota</t>
  </si>
  <si>
    <t>Calculadora de costos y precios</t>
  </si>
  <si>
    <t>Ingrese los costos por producto o servicio. El precio sugerido usa margen sobre ventas: Precio = Costo total / (1 - margen deseado).</t>
  </si>
  <si>
    <t>Producto / Servicio</t>
  </si>
  <si>
    <t>Material / costo directo (₡)</t>
  </si>
  <si>
    <t>Mano de obra (₡)</t>
  </si>
  <si>
    <t>Otros variables (₡)</t>
  </si>
  <si>
    <t>Gastos indirectos asignados (₡)</t>
  </si>
  <si>
    <t>Costo total (₡)</t>
  </si>
  <si>
    <t>Margen deseado</t>
  </si>
  <si>
    <t>Precio sugerido (₡)</t>
  </si>
  <si>
    <t>Precio real (₡)</t>
  </si>
  <si>
    <t>Ganancia real / unidad (₡)</t>
  </si>
  <si>
    <t>Margen real</t>
  </si>
  <si>
    <t>Presupuesto mensual</t>
  </si>
  <si>
    <t>Año</t>
  </si>
  <si>
    <t>Mes (1-12)</t>
  </si>
  <si>
    <t>Categoría de gasto</t>
  </si>
  <si>
    <t>Presupuesto (₡)</t>
  </si>
  <si>
    <t>Gasto real (₡)</t>
  </si>
  <si>
    <t>Variación (₡)</t>
  </si>
  <si>
    <t>% utilizado</t>
  </si>
  <si>
    <t>Materia prima / Mercadería</t>
  </si>
  <si>
    <t>Alquiler</t>
  </si>
  <si>
    <t>Servicios públicos</t>
  </si>
  <si>
    <t>Transporte</t>
  </si>
  <si>
    <t>Marketing</t>
  </si>
  <si>
    <t>Comisiones</t>
  </si>
  <si>
    <t>Salarios</t>
  </si>
  <si>
    <t>Impuestos</t>
  </si>
  <si>
    <t>Mantenimiento</t>
  </si>
  <si>
    <t>Software / Suscripciones</t>
  </si>
  <si>
    <t>Otros gastos</t>
  </si>
  <si>
    <t>TOTAL</t>
  </si>
  <si>
    <t>Categorías</t>
  </si>
  <si>
    <t>Naturaleza</t>
  </si>
  <si>
    <t>Ingreso</t>
  </si>
  <si>
    <t>Ventas</t>
  </si>
  <si>
    <t>Efectivo</t>
  </si>
  <si>
    <t>Fijo</t>
  </si>
  <si>
    <t>Gasto</t>
  </si>
  <si>
    <t>Servicios</t>
  </si>
  <si>
    <t>SINPE / Transferencia</t>
  </si>
  <si>
    <t>Variable</t>
  </si>
  <si>
    <t>Otros ingresos</t>
  </si>
  <si>
    <t>Tarjeta</t>
  </si>
  <si>
    <t>Otro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</si>
</sst>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₡#,##0;[Red](₡#,##0);-"/>
    <numFmt numFmtId="165" formatCode="0.0%;[Red](0.0%);-"/>
    <numFmt numFmtId="166" formatCode="mmmm"/>
    <numFmt numFmtId="167" formatCode="dd/mm/yyyy"/>
  </numFmts>
  <fonts count="13">
    <font>
      <sz val="11.0"/>
      <color rgb="FF000000"/>
      <name val="Arial"/>
      <scheme val="minor"/>
    </font>
    <font>
      <b/>
      <sz val="16.0"/>
      <color rgb="FFFFFFFF"/>
      <name val="Arial"/>
    </font>
    <font>
      <b/>
      <sz val="11.0"/>
      <name val="Arial"/>
    </font>
    <font>
      <b/>
      <sz val="11.0"/>
      <color rgb="FF0000FF"/>
      <name val="Arial"/>
    </font>
    <font>
      <b/>
      <sz val="11.0"/>
      <color rgb="FF000000"/>
      <name val="Arial"/>
    </font>
    <font>
      <b/>
      <sz val="14.0"/>
      <name val="Arial"/>
    </font>
    <font>
      <b/>
      <sz val="11.0"/>
      <color rgb="FFFFFFFF"/>
      <name val="Arial"/>
    </font>
    <font>
      <sz val="11.0"/>
      <color rgb="FF000000"/>
      <name val="Arial"/>
    </font>
    <font>
      <sz val="11.0"/>
      <color rgb="FF008000"/>
      <name val="Arial"/>
    </font>
    <font>
      <sz val="11.0"/>
      <name val="Carlito"/>
    </font>
    <font>
      <i/>
      <sz val="11.0"/>
      <name val="Arial"/>
    </font>
    <font>
      <sz val="11.0"/>
      <color rgb="FF0000FF"/>
      <name val="Arial"/>
    </font>
    <font>
      <sz val="11.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D9EAF7"/>
        <bgColor rgb="FFD9EAF7"/>
      </patternFill>
    </fill>
    <fill>
      <patternFill patternType="solid">
        <fgColor rgb="FFF5F8FB"/>
        <bgColor rgb="FFF5F8FB"/>
      </patternFill>
    </fill>
    <fill>
      <patternFill patternType="solid">
        <fgColor rgb="FFE7E6E6"/>
        <bgColor rgb="FFE7E6E6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center"/>
    </xf>
    <xf borderId="0" fillId="0" fontId="2" numFmtId="0" xfId="0" applyFont="1"/>
    <xf borderId="0" fillId="3" fontId="3" numFmtId="1" xfId="0" applyAlignment="1" applyFill="1" applyFont="1" applyNumberFormat="1">
      <alignment horizontal="center"/>
    </xf>
    <xf borderId="0" fillId="4" fontId="4" numFmtId="0" xfId="0" applyAlignment="1" applyFill="1" applyFont="1">
      <alignment horizontal="center" shrinkToFit="0" vertical="center" wrapText="1"/>
    </xf>
    <xf borderId="0" fillId="0" fontId="5" numFmtId="164" xfId="0" applyAlignment="1" applyFont="1" applyNumberFormat="1">
      <alignment horizontal="center" vertical="center"/>
    </xf>
    <xf borderId="0" fillId="0" fontId="5" numFmtId="165" xfId="0" applyAlignment="1" applyFont="1" applyNumberFormat="1">
      <alignment horizontal="center" vertical="center"/>
    </xf>
    <xf borderId="0" fillId="2" fontId="6" numFmtId="0" xfId="0" applyAlignment="1" applyFill="1" applyFont="1">
      <alignment horizontal="left" vertical="center"/>
    </xf>
    <xf borderId="0" fillId="0" fontId="7" numFmtId="166" xfId="0" applyFont="1" applyNumberFormat="1"/>
    <xf borderId="0" fillId="0" fontId="8" numFmtId="164" xfId="0" applyFont="1" applyNumberFormat="1"/>
    <xf borderId="0" fillId="0" fontId="7" numFmtId="164" xfId="0" applyFont="1" applyNumberFormat="1"/>
    <xf borderId="0" fillId="0" fontId="9" numFmtId="1" xfId="0" applyFont="1" applyNumberFormat="1"/>
    <xf borderId="0" fillId="5" fontId="10" numFmtId="0" xfId="0" applyAlignment="1" applyFill="1" applyFont="1">
      <alignment shrinkToFit="0" vertical="center" wrapText="1"/>
    </xf>
    <xf borderId="0" fillId="0" fontId="11" numFmtId="167" xfId="0" applyAlignment="1" applyFont="1" applyNumberFormat="1">
      <alignment shrinkToFit="0" wrapText="1"/>
    </xf>
    <xf borderId="0" fillId="0" fontId="11" numFmtId="0" xfId="0" applyAlignment="1" applyFont="1">
      <alignment shrinkToFit="0" wrapText="1"/>
    </xf>
    <xf borderId="0" fillId="0" fontId="11" numFmtId="164" xfId="0" applyAlignment="1" applyFont="1" applyNumberFormat="1">
      <alignment shrinkToFit="0" wrapText="1"/>
    </xf>
    <xf borderId="0" fillId="5" fontId="10" numFmtId="0" xfId="0" applyAlignment="1" applyFill="1" applyFont="1">
      <alignment shrinkToFit="0" wrapText="1"/>
    </xf>
    <xf borderId="0" fillId="0" fontId="11" numFmtId="0" xfId="0" applyFont="1"/>
    <xf borderId="0" fillId="0" fontId="11" numFmtId="164" xfId="0" applyFont="1" applyNumberFormat="1"/>
    <xf borderId="0" fillId="3" fontId="11" numFmtId="165" xfId="0" applyFill="1" applyFont="1" applyNumberFormat="1"/>
    <xf borderId="0" fillId="0" fontId="7" numFmtId="165" xfId="0" applyFont="1" applyNumberFormat="1"/>
    <xf borderId="0" fillId="0" fontId="8" numFmtId="1" xfId="0" applyFont="1" applyNumberFormat="1"/>
    <xf borderId="0" fillId="3" fontId="3" numFmtId="0" xfId="0" applyFill="1" applyFont="1"/>
    <xf borderId="0" fillId="6" fontId="2" numFmtId="0" xfId="0" applyFill="1" applyFont="1"/>
    <xf borderId="0" fillId="6" fontId="2" numFmtId="164" xfId="0" applyFill="1" applyFont="1" applyNumberFormat="1"/>
    <xf borderId="0" fillId="6" fontId="2" numFmtId="165" xfId="0" applyFill="1" applyFont="1" applyNumberFormat="1"/>
    <xf borderId="0" fillId="0" fontId="12" numFmtId="0" xfId="0" applyFont="1"/>
  </cellXfs>
  <cellStyles count="1">
    <cellStyle xfId="0" name="Normal" builtinId="0"/>
  </cellStyles>
  <dxfs count="3">
    <dxf>
      <font/>
      <fill>
        <patternFill patternType="solid">
          <fgColor rgb="FFFCE4D6"/>
          <bgColor rgb="FFFCE4D6"/>
        </patternFill>
      </fill>
      <border/>
    </dxf>
    <dxf>
      <font>
        <color rgb="FFC00000"/>
      </font>
      <fill>
        <patternFill patternType="solid">
          <fgColor rgb="FFFCE4D6"/>
          <bgColor rgb="FFFCE4D6"/>
        </patternFill>
      </fill>
      <border/>
    </dxf>
    <dxf>
      <font>
        <b/>
        <color rgb="FFC00000"/>
      </font>
      <fill>
        <patternFill patternType="solid">
          <fgColor rgb="FFFCE4D6"/>
          <bgColor rgb="FFFCE4D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Ingresos vs. gastos por mes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Ingresos (₡)</c:v>
          </c:tx>
          <c:spPr>
            <a:solidFill>
              <a:srgbClr val="4285F4"/>
            </a:solidFill>
            <a:ln cmpd="sng">
              <a:noFill/>
            </a:ln>
          </c:spPr>
          <c:cat>
            <c:strRef>
              <c:f>Dashboard!$A$10:$A$21</c:f>
            </c:strRef>
          </c:cat>
          <c:val>
            <c:numRef>
              <c:f>Dashboard!$B$10:$B$21</c:f>
              <c:numCache/>
            </c:numRef>
          </c:val>
        </c:ser>
        <c:ser>
          <c:idx val="1"/>
          <c:order val="1"/>
          <c:tx>
            <c:v>Gastos (₡)</c:v>
          </c:tx>
          <c:spPr>
            <a:solidFill>
              <a:srgbClr val="EA4335"/>
            </a:solidFill>
            <a:ln cmpd="sng">
              <a:noFill/>
            </a:ln>
          </c:spPr>
          <c:cat>
            <c:strRef>
              <c:f>Dashboard!$A$10:$A$21</c:f>
            </c:strRef>
          </c:cat>
          <c:val>
            <c:numRef>
              <c:f>Dashboard!$C$10:$C$21</c:f>
              <c:numCache/>
            </c:numRef>
          </c:val>
        </c:ser>
        <c:axId val="1169976047"/>
        <c:axId val="1576383237"/>
      </c:barChart>
      <c:catAx>
        <c:axId val="11699760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6383237"/>
      </c:catAx>
      <c:valAx>
        <c:axId val="15763832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9976047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2</xdr:row>
      <xdr:rowOff>0</xdr:rowOff>
    </xdr:from>
    <xdr:ext cx="6400800" cy="33528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4" width="18.0"/>
    <col customWidth="1" min="5" max="5" width="8.71"/>
    <col customWidth="1" min="6" max="13" width="12.0"/>
    <col customWidth="1" min="14" max="14" width="8.71"/>
  </cols>
  <sheetData>
    <row r="1" ht="24.0" customHeight="1">
      <c r="A1" s="1" t="s">
        <v>0</v>
      </c>
    </row>
    <row r="2" ht="24.0" customHeight="1">
      <c r="A2" s="2" t="s">
        <v>1</v>
      </c>
      <c r="B2" s="3">
        <v>2026.0</v>
      </c>
    </row>
    <row r="4">
      <c r="A4" s="4" t="s">
        <v>2</v>
      </c>
      <c r="B4" s="4" t="s">
        <v>3</v>
      </c>
      <c r="C4" s="4" t="s">
        <v>4</v>
      </c>
      <c r="D4" s="4" t="s">
        <v>5</v>
      </c>
    </row>
    <row r="5" ht="27.75" customHeight="1">
      <c r="A5" s="5" t="str">
        <f t="shared" ref="A5:B5" si="1">SUM(B10:B21)</f>
        <v>-</v>
      </c>
      <c r="B5" s="5" t="str">
        <f t="shared" si="1"/>
        <v>-</v>
      </c>
      <c r="C5" s="5" t="str">
        <f>A5-B5</f>
        <v>-</v>
      </c>
      <c r="D5" s="6" t="str">
        <f>IFERROR(C5/A5,0)</f>
        <v>-</v>
      </c>
    </row>
    <row r="8">
      <c r="A8" s="7" t="s">
        <v>6</v>
      </c>
    </row>
    <row r="9">
      <c r="A9" s="4" t="s">
        <v>7</v>
      </c>
      <c r="B9" s="4" t="s">
        <v>2</v>
      </c>
      <c r="C9" s="4" t="s">
        <v>3</v>
      </c>
      <c r="D9" s="4" t="s">
        <v>4</v>
      </c>
    </row>
    <row r="10">
      <c r="A10" s="8" t="str">
        <f>DATE($B$2,1,1)</f>
        <v>January</v>
      </c>
      <c r="B10" s="9" t="str">
        <f>SUMIFS(Movimientos!$G$6:$G$1005,Movimientos!$B$6:$B$1005,"Ingreso",Movimientos!$A$6:$A$1005,"&gt;="&amp;A10,Movimientos!$A$6:$A$1005,"&lt;"&amp;DATE(YEAR(A10),MONTH(A10)+1,1))</f>
        <v>-</v>
      </c>
      <c r="C10" s="9" t="str">
        <f>SUMIFS(Movimientos!$G$6:$G$1005,Movimientos!$B$6:$B$1005,"Gasto",Movimientos!$A$6:$A$1005,"&gt;="&amp;A10,Movimientos!$A$6:$A$1005,"&lt;"&amp;DATE(YEAR(A10),MONTH(A10)+1,1))</f>
        <v>-</v>
      </c>
      <c r="D10" s="10" t="str">
        <f t="shared" ref="D10:D21" si="2">B10-C10</f>
        <v>-</v>
      </c>
    </row>
    <row r="11">
      <c r="A11" s="8" t="str">
        <f>DATE($B$2,2,1)</f>
        <v>February</v>
      </c>
      <c r="B11" s="9" t="str">
        <f>SUMIFS(Movimientos!$G$6:$G$1005,Movimientos!$B$6:$B$1005,"Ingreso",Movimientos!$A$6:$A$1005,"&gt;="&amp;A11,Movimientos!$A$6:$A$1005,"&lt;"&amp;DATE(YEAR(A11),MONTH(A11)+1,1))</f>
        <v>-</v>
      </c>
      <c r="C11" s="9" t="str">
        <f>SUMIFS(Movimientos!$G$6:$G$1005,Movimientos!$B$6:$B$1005,"Gasto",Movimientos!$A$6:$A$1005,"&gt;="&amp;A11,Movimientos!$A$6:$A$1005,"&lt;"&amp;DATE(YEAR(A11),MONTH(A11)+1,1))</f>
        <v>-</v>
      </c>
      <c r="D11" s="10" t="str">
        <f t="shared" si="2"/>
        <v>-</v>
      </c>
    </row>
    <row r="12">
      <c r="A12" s="8" t="str">
        <f>DATE($B$2,3,1)</f>
        <v>March</v>
      </c>
      <c r="B12" s="9" t="str">
        <f>SUMIFS(Movimientos!$G$6:$G$1005,Movimientos!$B$6:$B$1005,"Ingreso",Movimientos!$A$6:$A$1005,"&gt;="&amp;A12,Movimientos!$A$6:$A$1005,"&lt;"&amp;DATE(YEAR(A12),MONTH(A12)+1,1))</f>
        <v>-</v>
      </c>
      <c r="C12" s="9" t="str">
        <f>SUMIFS(Movimientos!$G$6:$G$1005,Movimientos!$B$6:$B$1005,"Gasto",Movimientos!$A$6:$A$1005,"&gt;="&amp;A12,Movimientos!$A$6:$A$1005,"&lt;"&amp;DATE(YEAR(A12),MONTH(A12)+1,1))</f>
        <v>-</v>
      </c>
      <c r="D12" s="10" t="str">
        <f t="shared" si="2"/>
        <v>-</v>
      </c>
    </row>
    <row r="13">
      <c r="A13" s="8" t="str">
        <f>DATE($B$2,4,1)</f>
        <v>April</v>
      </c>
      <c r="B13" s="9" t="str">
        <f>SUMIFS(Movimientos!$G$6:$G$1005,Movimientos!$B$6:$B$1005,"Ingreso",Movimientos!$A$6:$A$1005,"&gt;="&amp;A13,Movimientos!$A$6:$A$1005,"&lt;"&amp;DATE(YEAR(A13),MONTH(A13)+1,1))</f>
        <v>-</v>
      </c>
      <c r="C13" s="9" t="str">
        <f>SUMIFS(Movimientos!$G$6:$G$1005,Movimientos!$B$6:$B$1005,"Gasto",Movimientos!$A$6:$A$1005,"&gt;="&amp;A13,Movimientos!$A$6:$A$1005,"&lt;"&amp;DATE(YEAR(A13),MONTH(A13)+1,1))</f>
        <v>-</v>
      </c>
      <c r="D13" s="10" t="str">
        <f t="shared" si="2"/>
        <v>-</v>
      </c>
    </row>
    <row r="14">
      <c r="A14" s="8" t="str">
        <f>DATE($B$2,5,1)</f>
        <v>May</v>
      </c>
      <c r="B14" s="9" t="str">
        <f>SUMIFS(Movimientos!$G$6:$G$1005,Movimientos!$B$6:$B$1005,"Ingreso",Movimientos!$A$6:$A$1005,"&gt;="&amp;A14,Movimientos!$A$6:$A$1005,"&lt;"&amp;DATE(YEAR(A14),MONTH(A14)+1,1))</f>
        <v>-</v>
      </c>
      <c r="C14" s="9" t="str">
        <f>SUMIFS(Movimientos!$G$6:$G$1005,Movimientos!$B$6:$B$1005,"Gasto",Movimientos!$A$6:$A$1005,"&gt;="&amp;A14,Movimientos!$A$6:$A$1005,"&lt;"&amp;DATE(YEAR(A14),MONTH(A14)+1,1))</f>
        <v>-</v>
      </c>
      <c r="D14" s="10" t="str">
        <f t="shared" si="2"/>
        <v>-</v>
      </c>
    </row>
    <row r="15">
      <c r="A15" s="8" t="str">
        <f>DATE($B$2,6,1)</f>
        <v>June</v>
      </c>
      <c r="B15" s="9" t="str">
        <f>SUMIFS(Movimientos!$G$6:$G$1005,Movimientos!$B$6:$B$1005,"Ingreso",Movimientos!$A$6:$A$1005,"&gt;="&amp;A15,Movimientos!$A$6:$A$1005,"&lt;"&amp;DATE(YEAR(A15),MONTH(A15)+1,1))</f>
        <v>-</v>
      </c>
      <c r="C15" s="9" t="str">
        <f>SUMIFS(Movimientos!$G$6:$G$1005,Movimientos!$B$6:$B$1005,"Gasto",Movimientos!$A$6:$A$1005,"&gt;="&amp;A15,Movimientos!$A$6:$A$1005,"&lt;"&amp;DATE(YEAR(A15),MONTH(A15)+1,1))</f>
        <v>-</v>
      </c>
      <c r="D15" s="10" t="str">
        <f t="shared" si="2"/>
        <v>-</v>
      </c>
    </row>
    <row r="16">
      <c r="A16" s="8" t="str">
        <f>DATE($B$2,7,1)</f>
        <v>July</v>
      </c>
      <c r="B16" s="9" t="str">
        <f>SUMIFS(Movimientos!$G$6:$G$1005,Movimientos!$B$6:$B$1005,"Ingreso",Movimientos!$A$6:$A$1005,"&gt;="&amp;A16,Movimientos!$A$6:$A$1005,"&lt;"&amp;DATE(YEAR(A16),MONTH(A16)+1,1))</f>
        <v>-</v>
      </c>
      <c r="C16" s="9" t="str">
        <f>SUMIFS(Movimientos!$G$6:$G$1005,Movimientos!$B$6:$B$1005,"Gasto",Movimientos!$A$6:$A$1005,"&gt;="&amp;A16,Movimientos!$A$6:$A$1005,"&lt;"&amp;DATE(YEAR(A16),MONTH(A16)+1,1))</f>
        <v>-</v>
      </c>
      <c r="D16" s="10" t="str">
        <f t="shared" si="2"/>
        <v>-</v>
      </c>
    </row>
    <row r="17">
      <c r="A17" s="8" t="str">
        <f>DATE($B$2,8,1)</f>
        <v>August</v>
      </c>
      <c r="B17" s="9" t="str">
        <f>SUMIFS(Movimientos!$G$6:$G$1005,Movimientos!$B$6:$B$1005,"Ingreso",Movimientos!$A$6:$A$1005,"&gt;="&amp;A17,Movimientos!$A$6:$A$1005,"&lt;"&amp;DATE(YEAR(A17),MONTH(A17)+1,1))</f>
        <v>-</v>
      </c>
      <c r="C17" s="9" t="str">
        <f>SUMIFS(Movimientos!$G$6:$G$1005,Movimientos!$B$6:$B$1005,"Gasto",Movimientos!$A$6:$A$1005,"&gt;="&amp;A17,Movimientos!$A$6:$A$1005,"&lt;"&amp;DATE(YEAR(A17),MONTH(A17)+1,1))</f>
        <v>-</v>
      </c>
      <c r="D17" s="10" t="str">
        <f t="shared" si="2"/>
        <v>-</v>
      </c>
    </row>
    <row r="18">
      <c r="A18" s="8" t="str">
        <f>DATE($B$2,9,1)</f>
        <v>September</v>
      </c>
      <c r="B18" s="9" t="str">
        <f>SUMIFS(Movimientos!$G$6:$G$1005,Movimientos!$B$6:$B$1005,"Ingreso",Movimientos!$A$6:$A$1005,"&gt;="&amp;A18,Movimientos!$A$6:$A$1005,"&lt;"&amp;DATE(YEAR(A18),MONTH(A18)+1,1))</f>
        <v>-</v>
      </c>
      <c r="C18" s="9" t="str">
        <f>SUMIFS(Movimientos!$G$6:$G$1005,Movimientos!$B$6:$B$1005,"Gasto",Movimientos!$A$6:$A$1005,"&gt;="&amp;A18,Movimientos!$A$6:$A$1005,"&lt;"&amp;DATE(YEAR(A18),MONTH(A18)+1,1))</f>
        <v>-</v>
      </c>
      <c r="D18" s="10" t="str">
        <f t="shared" si="2"/>
        <v>-</v>
      </c>
    </row>
    <row r="19">
      <c r="A19" s="8" t="str">
        <f>DATE($B$2,10,1)</f>
        <v>October</v>
      </c>
      <c r="B19" s="9" t="str">
        <f>SUMIFS(Movimientos!$G$6:$G$1005,Movimientos!$B$6:$B$1005,"Ingreso",Movimientos!$A$6:$A$1005,"&gt;="&amp;A19,Movimientos!$A$6:$A$1005,"&lt;"&amp;DATE(YEAR(A19),MONTH(A19)+1,1))</f>
        <v>-</v>
      </c>
      <c r="C19" s="9" t="str">
        <f>SUMIFS(Movimientos!$G$6:$G$1005,Movimientos!$B$6:$B$1005,"Gasto",Movimientos!$A$6:$A$1005,"&gt;="&amp;A19,Movimientos!$A$6:$A$1005,"&lt;"&amp;DATE(YEAR(A19),MONTH(A19)+1,1))</f>
        <v>-</v>
      </c>
      <c r="D19" s="10" t="str">
        <f t="shared" si="2"/>
        <v>-</v>
      </c>
    </row>
    <row r="20">
      <c r="A20" s="8" t="str">
        <f>DATE($B$2,11,1)</f>
        <v>November</v>
      </c>
      <c r="B20" s="9" t="str">
        <f>SUMIFS(Movimientos!$G$6:$G$1005,Movimientos!$B$6:$B$1005,"Ingreso",Movimientos!$A$6:$A$1005,"&gt;="&amp;A20,Movimientos!$A$6:$A$1005,"&lt;"&amp;DATE(YEAR(A20),MONTH(A20)+1,1))</f>
        <v>-</v>
      </c>
      <c r="C20" s="9" t="str">
        <f>SUMIFS(Movimientos!$G$6:$G$1005,Movimientos!$B$6:$B$1005,"Gasto",Movimientos!$A$6:$A$1005,"&gt;="&amp;A20,Movimientos!$A$6:$A$1005,"&lt;"&amp;DATE(YEAR(A20),MONTH(A20)+1,1))</f>
        <v>-</v>
      </c>
      <c r="D20" s="10" t="str">
        <f t="shared" si="2"/>
        <v>-</v>
      </c>
    </row>
    <row r="21" ht="15.75" customHeight="1">
      <c r="A21" s="8" t="str">
        <f>DATE($B$2,12,1)</f>
        <v>December</v>
      </c>
      <c r="B21" s="9" t="str">
        <f>SUMIFS(Movimientos!$G$6:$G$1005,Movimientos!$B$6:$B$1005,"Ingreso",Movimientos!$A$6:$A$1005,"&gt;="&amp;A21,Movimientos!$A$6:$A$1005,"&lt;"&amp;DATE(YEAR(A21),MONTH(A21)+1,1))</f>
        <v>-</v>
      </c>
      <c r="C21" s="9" t="str">
        <f>SUMIFS(Movimientos!$G$6:$G$1005,Movimientos!$B$6:$B$1005,"Gasto",Movimientos!$A$6:$A$1005,"&gt;="&amp;A21,Movimientos!$A$6:$A$1005,"&lt;"&amp;DATE(YEAR(A21),MONTH(A21)+1,1))</f>
        <v>-</v>
      </c>
      <c r="D21" s="10" t="str">
        <f t="shared" si="2"/>
        <v>-</v>
      </c>
    </row>
    <row r="22" ht="15.75" customHeight="1"/>
    <row r="23" ht="15.75" customHeight="1"/>
    <row r="24" ht="15.75" customHeight="1">
      <c r="A24" s="7" t="s">
        <v>8</v>
      </c>
    </row>
    <row r="25" ht="15.75" customHeight="1">
      <c r="A25" s="4" t="s">
        <v>9</v>
      </c>
      <c r="B25" s="4" t="s">
        <v>10</v>
      </c>
    </row>
    <row r="26" ht="15.75" customHeight="1">
      <c r="A26" t="s">
        <v>11</v>
      </c>
      <c r="B26" s="10" t="str">
        <f>AVERAGE(B10:B21)</f>
        <v>-</v>
      </c>
    </row>
    <row r="27" ht="15.75" customHeight="1">
      <c r="A27" t="s">
        <v>12</v>
      </c>
      <c r="B27" s="10" t="str">
        <f>AVERAGE(C10:C21)</f>
        <v>-</v>
      </c>
    </row>
    <row r="28" ht="15.75" customHeight="1">
      <c r="A28" t="s">
        <v>13</v>
      </c>
      <c r="B28" s="11" t="str">
        <f>COUNTIF(D10:D21,"&lt;0")</f>
        <v>0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3">
    <mergeCell ref="A1:M1"/>
    <mergeCell ref="A8:D8"/>
    <mergeCell ref="A24:D24"/>
  </mergeCells>
  <conditionalFormatting sqref="A5:D5">
    <cfRule type="expression" dxfId="0" priority="1">
      <formula>C5&lt;0</formula>
    </cfRule>
  </conditionalFormatting>
  <conditionalFormatting sqref="D10:D21">
    <cfRule type="expression" dxfId="1" priority="2">
      <formula>D10&lt;0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12.0"/>
    <col customWidth="1" min="3" max="3" width="27.0"/>
    <col customWidth="1" min="4" max="4" width="34.0"/>
    <col customWidth="1" min="5" max="5" width="22.0"/>
    <col customWidth="1" min="6" max="7" width="16.0"/>
    <col customWidth="1" min="8" max="8" width="30.0"/>
    <col customWidth="1" min="9" max="11" width="8.71"/>
  </cols>
  <sheetData>
    <row r="1" ht="24.0" customHeight="1">
      <c r="A1" s="1" t="s">
        <v>14</v>
      </c>
    </row>
    <row r="2" ht="24.0" customHeight="1">
      <c r="A2" s="12" t="s">
        <v>15</v>
      </c>
    </row>
    <row r="5">
      <c r="A5" s="4" t="s">
        <v>16</v>
      </c>
      <c r="B5" s="4" t="s">
        <v>17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22</v>
      </c>
      <c r="H5" s="4" t="s">
        <v>23</v>
      </c>
    </row>
    <row r="6">
      <c r="A6" s="13"/>
      <c r="B6" s="14"/>
      <c r="C6" s="14"/>
      <c r="D6" s="14"/>
      <c r="E6" s="14"/>
      <c r="F6" s="14"/>
      <c r="G6" s="15"/>
      <c r="H6" s="14"/>
    </row>
    <row r="7">
      <c r="A7" s="13"/>
      <c r="B7" s="14"/>
      <c r="C7" s="14"/>
      <c r="D7" s="14"/>
      <c r="E7" s="14"/>
      <c r="F7" s="14"/>
      <c r="G7" s="15"/>
      <c r="H7" s="14"/>
    </row>
    <row r="8">
      <c r="A8" s="13"/>
      <c r="B8" s="14"/>
      <c r="C8" s="14"/>
      <c r="D8" s="14"/>
      <c r="E8" s="14"/>
      <c r="F8" s="14"/>
      <c r="G8" s="15"/>
      <c r="H8" s="14"/>
    </row>
    <row r="9">
      <c r="A9" s="13"/>
      <c r="B9" s="14"/>
      <c r="C9" s="14"/>
      <c r="D9" s="14"/>
      <c r="E9" s="14"/>
      <c r="F9" s="14"/>
      <c r="G9" s="15"/>
      <c r="H9" s="14"/>
    </row>
    <row r="10">
      <c r="A10" s="13"/>
      <c r="B10" s="14"/>
      <c r="C10" s="14"/>
      <c r="D10" s="14"/>
      <c r="E10" s="14"/>
      <c r="F10" s="14"/>
      <c r="G10" s="15"/>
      <c r="H10" s="14"/>
    </row>
    <row r="11">
      <c r="A11" s="13"/>
      <c r="B11" s="14"/>
      <c r="C11" s="14"/>
      <c r="D11" s="14"/>
      <c r="E11" s="14"/>
      <c r="F11" s="14"/>
      <c r="G11" s="15"/>
      <c r="H11" s="14"/>
    </row>
    <row r="12">
      <c r="A12" s="13"/>
      <c r="B12" s="14"/>
      <c r="C12" s="14"/>
      <c r="D12" s="14"/>
      <c r="E12" s="14"/>
      <c r="F12" s="14"/>
      <c r="G12" s="15"/>
      <c r="H12" s="14"/>
    </row>
    <row r="13">
      <c r="A13" s="13"/>
      <c r="B13" s="14"/>
      <c r="C13" s="14"/>
      <c r="D13" s="14"/>
      <c r="E13" s="14"/>
      <c r="F13" s="14"/>
      <c r="G13" s="15"/>
      <c r="H13" s="14"/>
    </row>
    <row r="14">
      <c r="A14" s="13"/>
      <c r="B14" s="14"/>
      <c r="C14" s="14"/>
      <c r="D14" s="14"/>
      <c r="E14" s="14"/>
      <c r="F14" s="14"/>
      <c r="G14" s="15"/>
      <c r="H14" s="14"/>
    </row>
    <row r="15">
      <c r="A15" s="13"/>
      <c r="B15" s="14"/>
      <c r="C15" s="14"/>
      <c r="D15" s="14"/>
      <c r="E15" s="14"/>
      <c r="F15" s="14"/>
      <c r="G15" s="15"/>
      <c r="H15" s="14"/>
    </row>
    <row r="16">
      <c r="A16" s="13"/>
      <c r="B16" s="14"/>
      <c r="C16" s="14"/>
      <c r="D16" s="14"/>
      <c r="E16" s="14"/>
      <c r="F16" s="14"/>
      <c r="G16" s="15"/>
      <c r="H16" s="14"/>
    </row>
    <row r="17">
      <c r="A17" s="13"/>
      <c r="B17" s="14"/>
      <c r="C17" s="14"/>
      <c r="D17" s="14"/>
      <c r="E17" s="14"/>
      <c r="F17" s="14"/>
      <c r="G17" s="15"/>
      <c r="H17" s="14"/>
    </row>
    <row r="18">
      <c r="A18" s="13"/>
      <c r="B18" s="14"/>
      <c r="C18" s="14"/>
      <c r="D18" s="14"/>
      <c r="E18" s="14"/>
      <c r="F18" s="14"/>
      <c r="G18" s="15"/>
      <c r="H18" s="14"/>
    </row>
    <row r="19">
      <c r="A19" s="13"/>
      <c r="B19" s="14"/>
      <c r="C19" s="14"/>
      <c r="D19" s="14"/>
      <c r="E19" s="14"/>
      <c r="F19" s="14"/>
      <c r="G19" s="15"/>
      <c r="H19" s="14"/>
    </row>
    <row r="20">
      <c r="A20" s="13"/>
      <c r="B20" s="14"/>
      <c r="C20" s="14"/>
      <c r="D20" s="14"/>
      <c r="E20" s="14"/>
      <c r="F20" s="14"/>
      <c r="G20" s="15"/>
      <c r="H20" s="14"/>
    </row>
    <row r="21" ht="15.75" customHeight="1">
      <c r="A21" s="13"/>
      <c r="B21" s="14"/>
      <c r="C21" s="14"/>
      <c r="D21" s="14"/>
      <c r="E21" s="14"/>
      <c r="F21" s="14"/>
      <c r="G21" s="15"/>
      <c r="H21" s="14"/>
    </row>
    <row r="22" ht="15.75" customHeight="1">
      <c r="A22" s="13"/>
      <c r="B22" s="14"/>
      <c r="C22" s="14"/>
      <c r="D22" s="14"/>
      <c r="E22" s="14"/>
      <c r="F22" s="14"/>
      <c r="G22" s="15"/>
      <c r="H22" s="14"/>
    </row>
    <row r="23" ht="15.75" customHeight="1">
      <c r="A23" s="13"/>
      <c r="B23" s="14"/>
      <c r="C23" s="14"/>
      <c r="D23" s="14"/>
      <c r="E23" s="14"/>
      <c r="F23" s="14"/>
      <c r="G23" s="15"/>
      <c r="H23" s="14"/>
    </row>
    <row r="24" ht="15.75" customHeight="1">
      <c r="A24" s="13"/>
      <c r="B24" s="14"/>
      <c r="C24" s="14"/>
      <c r="D24" s="14"/>
      <c r="E24" s="14"/>
      <c r="F24" s="14"/>
      <c r="G24" s="15"/>
      <c r="H24" s="14"/>
    </row>
    <row r="25" ht="15.75" customHeight="1">
      <c r="A25" s="13"/>
      <c r="B25" s="14"/>
      <c r="C25" s="14"/>
      <c r="D25" s="14"/>
      <c r="E25" s="14"/>
      <c r="F25" s="14"/>
      <c r="G25" s="15"/>
      <c r="H25" s="14"/>
    </row>
    <row r="26" ht="15.75" customHeight="1">
      <c r="A26" s="13"/>
      <c r="B26" s="14"/>
      <c r="C26" s="14"/>
      <c r="D26" s="14"/>
      <c r="E26" s="14"/>
      <c r="F26" s="14"/>
      <c r="G26" s="15"/>
      <c r="H26" s="14"/>
    </row>
    <row r="27" ht="15.75" customHeight="1">
      <c r="A27" s="13"/>
      <c r="B27" s="14"/>
      <c r="C27" s="14"/>
      <c r="D27" s="14"/>
      <c r="E27" s="14"/>
      <c r="F27" s="14"/>
      <c r="G27" s="15"/>
      <c r="H27" s="14"/>
    </row>
    <row r="28" ht="15.75" customHeight="1">
      <c r="A28" s="13"/>
      <c r="B28" s="14"/>
      <c r="C28" s="14"/>
      <c r="D28" s="14"/>
      <c r="E28" s="14"/>
      <c r="F28" s="14"/>
      <c r="G28" s="15"/>
      <c r="H28" s="14"/>
    </row>
    <row r="29" ht="15.75" customHeight="1">
      <c r="A29" s="13"/>
      <c r="B29" s="14"/>
      <c r="C29" s="14"/>
      <c r="D29" s="14"/>
      <c r="E29" s="14"/>
      <c r="F29" s="14"/>
      <c r="G29" s="15"/>
      <c r="H29" s="14"/>
    </row>
    <row r="30" ht="15.75" customHeight="1">
      <c r="A30" s="13"/>
      <c r="B30" s="14"/>
      <c r="C30" s="14"/>
      <c r="D30" s="14"/>
      <c r="E30" s="14"/>
      <c r="F30" s="14"/>
      <c r="G30" s="15"/>
      <c r="H30" s="14"/>
    </row>
    <row r="31" ht="15.75" customHeight="1">
      <c r="A31" s="13"/>
      <c r="B31" s="14"/>
      <c r="C31" s="14"/>
      <c r="D31" s="14"/>
      <c r="E31" s="14"/>
      <c r="F31" s="14"/>
      <c r="G31" s="15"/>
      <c r="H31" s="14"/>
    </row>
    <row r="32" ht="15.75" customHeight="1">
      <c r="A32" s="13"/>
      <c r="B32" s="14"/>
      <c r="C32" s="14"/>
      <c r="D32" s="14"/>
      <c r="E32" s="14"/>
      <c r="F32" s="14"/>
      <c r="G32" s="15"/>
      <c r="H32" s="14"/>
    </row>
    <row r="33" ht="15.75" customHeight="1">
      <c r="A33" s="13"/>
      <c r="B33" s="14"/>
      <c r="C33" s="14"/>
      <c r="D33" s="14"/>
      <c r="E33" s="14"/>
      <c r="F33" s="14"/>
      <c r="G33" s="15"/>
      <c r="H33" s="14"/>
    </row>
    <row r="34" ht="15.75" customHeight="1">
      <c r="A34" s="13"/>
      <c r="B34" s="14"/>
      <c r="C34" s="14"/>
      <c r="D34" s="14"/>
      <c r="E34" s="14"/>
      <c r="F34" s="14"/>
      <c r="G34" s="15"/>
      <c r="H34" s="14"/>
    </row>
    <row r="35" ht="15.75" customHeight="1">
      <c r="A35" s="13"/>
      <c r="B35" s="14"/>
      <c r="C35" s="14"/>
      <c r="D35" s="14"/>
      <c r="E35" s="14"/>
      <c r="F35" s="14"/>
      <c r="G35" s="15"/>
      <c r="H35" s="14"/>
    </row>
    <row r="36" ht="15.75" customHeight="1">
      <c r="A36" s="13"/>
      <c r="B36" s="14"/>
      <c r="C36" s="14"/>
      <c r="D36" s="14"/>
      <c r="E36" s="14"/>
      <c r="F36" s="14"/>
      <c r="G36" s="15"/>
      <c r="H36" s="14"/>
    </row>
    <row r="37" ht="15.75" customHeight="1">
      <c r="A37" s="13"/>
      <c r="B37" s="14"/>
      <c r="C37" s="14"/>
      <c r="D37" s="14"/>
      <c r="E37" s="14"/>
      <c r="F37" s="14"/>
      <c r="G37" s="15"/>
      <c r="H37" s="14"/>
    </row>
    <row r="38" ht="15.75" customHeight="1">
      <c r="A38" s="13"/>
      <c r="B38" s="14"/>
      <c r="C38" s="14"/>
      <c r="D38" s="14"/>
      <c r="E38" s="14"/>
      <c r="F38" s="14"/>
      <c r="G38" s="15"/>
      <c r="H38" s="14"/>
    </row>
    <row r="39" ht="15.75" customHeight="1">
      <c r="A39" s="13"/>
      <c r="B39" s="14"/>
      <c r="C39" s="14"/>
      <c r="D39" s="14"/>
      <c r="E39" s="14"/>
      <c r="F39" s="14"/>
      <c r="G39" s="15"/>
      <c r="H39" s="14"/>
    </row>
    <row r="40" ht="15.75" customHeight="1">
      <c r="A40" s="13"/>
      <c r="B40" s="14"/>
      <c r="C40" s="14"/>
      <c r="D40" s="14"/>
      <c r="E40" s="14"/>
      <c r="F40" s="14"/>
      <c r="G40" s="15"/>
      <c r="H40" s="14"/>
    </row>
    <row r="41" ht="15.75" customHeight="1">
      <c r="A41" s="13"/>
      <c r="B41" s="14"/>
      <c r="C41" s="14"/>
      <c r="D41" s="14"/>
      <c r="E41" s="14"/>
      <c r="F41" s="14"/>
      <c r="G41" s="15"/>
      <c r="H41" s="14"/>
    </row>
    <row r="42" ht="15.75" customHeight="1">
      <c r="A42" s="13"/>
      <c r="B42" s="14"/>
      <c r="C42" s="14"/>
      <c r="D42" s="14"/>
      <c r="E42" s="14"/>
      <c r="F42" s="14"/>
      <c r="G42" s="15"/>
      <c r="H42" s="14"/>
    </row>
    <row r="43" ht="15.75" customHeight="1">
      <c r="A43" s="13"/>
      <c r="B43" s="14"/>
      <c r="C43" s="14"/>
      <c r="D43" s="14"/>
      <c r="E43" s="14"/>
      <c r="F43" s="14"/>
      <c r="G43" s="15"/>
      <c r="H43" s="14"/>
    </row>
    <row r="44" ht="15.75" customHeight="1">
      <c r="A44" s="13"/>
      <c r="B44" s="14"/>
      <c r="C44" s="14"/>
      <c r="D44" s="14"/>
      <c r="E44" s="14"/>
      <c r="F44" s="14"/>
      <c r="G44" s="15"/>
      <c r="H44" s="14"/>
    </row>
    <row r="45" ht="15.75" customHeight="1">
      <c r="A45" s="13"/>
      <c r="B45" s="14"/>
      <c r="C45" s="14"/>
      <c r="D45" s="14"/>
      <c r="E45" s="14"/>
      <c r="F45" s="14"/>
      <c r="G45" s="15"/>
      <c r="H45" s="14"/>
    </row>
    <row r="46" ht="15.75" customHeight="1">
      <c r="A46" s="13"/>
      <c r="B46" s="14"/>
      <c r="C46" s="14"/>
      <c r="D46" s="14"/>
      <c r="E46" s="14"/>
      <c r="F46" s="14"/>
      <c r="G46" s="15"/>
      <c r="H46" s="14"/>
    </row>
    <row r="47" ht="15.75" customHeight="1">
      <c r="A47" s="13"/>
      <c r="B47" s="14"/>
      <c r="C47" s="14"/>
      <c r="D47" s="14"/>
      <c r="E47" s="14"/>
      <c r="F47" s="14"/>
      <c r="G47" s="15"/>
      <c r="H47" s="14"/>
    </row>
    <row r="48" ht="15.75" customHeight="1">
      <c r="A48" s="13"/>
      <c r="B48" s="14"/>
      <c r="C48" s="14"/>
      <c r="D48" s="14"/>
      <c r="E48" s="14"/>
      <c r="F48" s="14"/>
      <c r="G48" s="15"/>
      <c r="H48" s="14"/>
    </row>
    <row r="49" ht="15.75" customHeight="1">
      <c r="A49" s="13"/>
      <c r="B49" s="14"/>
      <c r="C49" s="14"/>
      <c r="D49" s="14"/>
      <c r="E49" s="14"/>
      <c r="F49" s="14"/>
      <c r="G49" s="15"/>
      <c r="H49" s="14"/>
    </row>
    <row r="50" ht="15.75" customHeight="1">
      <c r="A50" s="13"/>
      <c r="B50" s="14"/>
      <c r="C50" s="14"/>
      <c r="D50" s="14"/>
      <c r="E50" s="14"/>
      <c r="F50" s="14"/>
      <c r="G50" s="15"/>
      <c r="H50" s="14"/>
    </row>
    <row r="51" ht="15.75" customHeight="1">
      <c r="A51" s="13"/>
      <c r="B51" s="14"/>
      <c r="C51" s="14"/>
      <c r="D51" s="14"/>
      <c r="E51" s="14"/>
      <c r="F51" s="14"/>
      <c r="G51" s="15"/>
      <c r="H51" s="14"/>
    </row>
    <row r="52" ht="15.75" customHeight="1">
      <c r="A52" s="13"/>
      <c r="B52" s="14"/>
      <c r="C52" s="14"/>
      <c r="D52" s="14"/>
      <c r="E52" s="14"/>
      <c r="F52" s="14"/>
      <c r="G52" s="15"/>
      <c r="H52" s="14"/>
    </row>
    <row r="53" ht="15.75" customHeight="1">
      <c r="A53" s="13"/>
      <c r="B53" s="14"/>
      <c r="C53" s="14"/>
      <c r="D53" s="14"/>
      <c r="E53" s="14"/>
      <c r="F53" s="14"/>
      <c r="G53" s="15"/>
      <c r="H53" s="14"/>
    </row>
    <row r="54" ht="15.75" customHeight="1">
      <c r="A54" s="13"/>
      <c r="B54" s="14"/>
      <c r="C54" s="14"/>
      <c r="D54" s="14"/>
      <c r="E54" s="14"/>
      <c r="F54" s="14"/>
      <c r="G54" s="15"/>
      <c r="H54" s="14"/>
    </row>
    <row r="55" ht="15.75" customHeight="1">
      <c r="A55" s="13"/>
      <c r="B55" s="14"/>
      <c r="C55" s="14"/>
      <c r="D55" s="14"/>
      <c r="E55" s="14"/>
      <c r="F55" s="14"/>
      <c r="G55" s="15"/>
      <c r="H55" s="14"/>
    </row>
    <row r="56" ht="15.75" customHeight="1">
      <c r="A56" s="13"/>
      <c r="B56" s="14"/>
      <c r="C56" s="14"/>
      <c r="D56" s="14"/>
      <c r="E56" s="14"/>
      <c r="F56" s="14"/>
      <c r="G56" s="15"/>
      <c r="H56" s="14"/>
    </row>
    <row r="57" ht="15.75" customHeight="1">
      <c r="A57" s="13"/>
      <c r="B57" s="14"/>
      <c r="C57" s="14"/>
      <c r="D57" s="14"/>
      <c r="E57" s="14"/>
      <c r="F57" s="14"/>
      <c r="G57" s="15"/>
      <c r="H57" s="14"/>
    </row>
    <row r="58" ht="15.75" customHeight="1">
      <c r="A58" s="13"/>
      <c r="B58" s="14"/>
      <c r="C58" s="14"/>
      <c r="D58" s="14"/>
      <c r="E58" s="14"/>
      <c r="F58" s="14"/>
      <c r="G58" s="15"/>
      <c r="H58" s="14"/>
    </row>
    <row r="59" ht="15.75" customHeight="1">
      <c r="A59" s="13"/>
      <c r="B59" s="14"/>
      <c r="C59" s="14"/>
      <c r="D59" s="14"/>
      <c r="E59" s="14"/>
      <c r="F59" s="14"/>
      <c r="G59" s="15"/>
      <c r="H59" s="14"/>
    </row>
    <row r="60" ht="15.75" customHeight="1">
      <c r="A60" s="13"/>
      <c r="B60" s="14"/>
      <c r="C60" s="14"/>
      <c r="D60" s="14"/>
      <c r="E60" s="14"/>
      <c r="F60" s="14"/>
      <c r="G60" s="15"/>
      <c r="H60" s="14"/>
    </row>
    <row r="61" ht="15.75" customHeight="1">
      <c r="A61" s="13"/>
      <c r="B61" s="14"/>
      <c r="C61" s="14"/>
      <c r="D61" s="14"/>
      <c r="E61" s="14"/>
      <c r="F61" s="14"/>
      <c r="G61" s="15"/>
      <c r="H61" s="14"/>
    </row>
    <row r="62" ht="15.75" customHeight="1">
      <c r="A62" s="13"/>
      <c r="B62" s="14"/>
      <c r="C62" s="14"/>
      <c r="D62" s="14"/>
      <c r="E62" s="14"/>
      <c r="F62" s="14"/>
      <c r="G62" s="15"/>
      <c r="H62" s="14"/>
    </row>
    <row r="63" ht="15.75" customHeight="1">
      <c r="A63" s="13"/>
      <c r="B63" s="14"/>
      <c r="C63" s="14"/>
      <c r="D63" s="14"/>
      <c r="E63" s="14"/>
      <c r="F63" s="14"/>
      <c r="G63" s="15"/>
      <c r="H63" s="14"/>
    </row>
    <row r="64" ht="15.75" customHeight="1">
      <c r="A64" s="13"/>
      <c r="B64" s="14"/>
      <c r="C64" s="14"/>
      <c r="D64" s="14"/>
      <c r="E64" s="14"/>
      <c r="F64" s="14"/>
      <c r="G64" s="15"/>
      <c r="H64" s="14"/>
    </row>
    <row r="65" ht="15.75" customHeight="1">
      <c r="A65" s="13"/>
      <c r="B65" s="14"/>
      <c r="C65" s="14"/>
      <c r="D65" s="14"/>
      <c r="E65" s="14"/>
      <c r="F65" s="14"/>
      <c r="G65" s="15"/>
      <c r="H65" s="14"/>
    </row>
    <row r="66" ht="15.75" customHeight="1">
      <c r="A66" s="13"/>
      <c r="B66" s="14"/>
      <c r="C66" s="14"/>
      <c r="D66" s="14"/>
      <c r="E66" s="14"/>
      <c r="F66" s="14"/>
      <c r="G66" s="15"/>
      <c r="H66" s="14"/>
    </row>
    <row r="67" ht="15.75" customHeight="1">
      <c r="A67" s="13"/>
      <c r="B67" s="14"/>
      <c r="C67" s="14"/>
      <c r="D67" s="14"/>
      <c r="E67" s="14"/>
      <c r="F67" s="14"/>
      <c r="G67" s="15"/>
      <c r="H67" s="14"/>
    </row>
    <row r="68" ht="15.75" customHeight="1">
      <c r="A68" s="13"/>
      <c r="B68" s="14"/>
      <c r="C68" s="14"/>
      <c r="D68" s="14"/>
      <c r="E68" s="14"/>
      <c r="F68" s="14"/>
      <c r="G68" s="15"/>
      <c r="H68" s="14"/>
    </row>
    <row r="69" ht="15.75" customHeight="1">
      <c r="A69" s="13"/>
      <c r="B69" s="14"/>
      <c r="C69" s="14"/>
      <c r="D69" s="14"/>
      <c r="E69" s="14"/>
      <c r="F69" s="14"/>
      <c r="G69" s="15"/>
      <c r="H69" s="14"/>
    </row>
    <row r="70" ht="15.75" customHeight="1">
      <c r="A70" s="13"/>
      <c r="B70" s="14"/>
      <c r="C70" s="14"/>
      <c r="D70" s="14"/>
      <c r="E70" s="14"/>
      <c r="F70" s="14"/>
      <c r="G70" s="15"/>
      <c r="H70" s="14"/>
    </row>
    <row r="71" ht="15.75" customHeight="1">
      <c r="A71" s="13"/>
      <c r="B71" s="14"/>
      <c r="C71" s="14"/>
      <c r="D71" s="14"/>
      <c r="E71" s="14"/>
      <c r="F71" s="14"/>
      <c r="G71" s="15"/>
      <c r="H71" s="14"/>
    </row>
    <row r="72" ht="15.75" customHeight="1">
      <c r="A72" s="13"/>
      <c r="B72" s="14"/>
      <c r="C72" s="14"/>
      <c r="D72" s="14"/>
      <c r="E72" s="14"/>
      <c r="F72" s="14"/>
      <c r="G72" s="15"/>
      <c r="H72" s="14"/>
    </row>
    <row r="73" ht="15.75" customHeight="1">
      <c r="A73" s="13"/>
      <c r="B73" s="14"/>
      <c r="C73" s="14"/>
      <c r="D73" s="14"/>
      <c r="E73" s="14"/>
      <c r="F73" s="14"/>
      <c r="G73" s="15"/>
      <c r="H73" s="14"/>
    </row>
    <row r="74" ht="15.75" customHeight="1">
      <c r="A74" s="13"/>
      <c r="B74" s="14"/>
      <c r="C74" s="14"/>
      <c r="D74" s="14"/>
      <c r="E74" s="14"/>
      <c r="F74" s="14"/>
      <c r="G74" s="15"/>
      <c r="H74" s="14"/>
    </row>
    <row r="75" ht="15.75" customHeight="1">
      <c r="A75" s="13"/>
      <c r="B75" s="14"/>
      <c r="C75" s="14"/>
      <c r="D75" s="14"/>
      <c r="E75" s="14"/>
      <c r="F75" s="14"/>
      <c r="G75" s="15"/>
      <c r="H75" s="14"/>
    </row>
    <row r="76" ht="15.75" customHeight="1">
      <c r="A76" s="13"/>
      <c r="B76" s="14"/>
      <c r="C76" s="14"/>
      <c r="D76" s="14"/>
      <c r="E76" s="14"/>
      <c r="F76" s="14"/>
      <c r="G76" s="15"/>
      <c r="H76" s="14"/>
    </row>
    <row r="77" ht="15.75" customHeight="1">
      <c r="A77" s="13"/>
      <c r="B77" s="14"/>
      <c r="C77" s="14"/>
      <c r="D77" s="14"/>
      <c r="E77" s="14"/>
      <c r="F77" s="14"/>
      <c r="G77" s="15"/>
      <c r="H77" s="14"/>
    </row>
    <row r="78" ht="15.75" customHeight="1">
      <c r="A78" s="13"/>
      <c r="B78" s="14"/>
      <c r="C78" s="14"/>
      <c r="D78" s="14"/>
      <c r="E78" s="14"/>
      <c r="F78" s="14"/>
      <c r="G78" s="15"/>
      <c r="H78" s="14"/>
    </row>
    <row r="79" ht="15.75" customHeight="1">
      <c r="A79" s="13"/>
      <c r="B79" s="14"/>
      <c r="C79" s="14"/>
      <c r="D79" s="14"/>
      <c r="E79" s="14"/>
      <c r="F79" s="14"/>
      <c r="G79" s="15"/>
      <c r="H79" s="14"/>
    </row>
    <row r="80" ht="15.75" customHeight="1">
      <c r="A80" s="13"/>
      <c r="B80" s="14"/>
      <c r="C80" s="14"/>
      <c r="D80" s="14"/>
      <c r="E80" s="14"/>
      <c r="F80" s="14"/>
      <c r="G80" s="15"/>
      <c r="H80" s="14"/>
    </row>
    <row r="81" ht="15.75" customHeight="1">
      <c r="A81" s="13"/>
      <c r="B81" s="14"/>
      <c r="C81" s="14"/>
      <c r="D81" s="14"/>
      <c r="E81" s="14"/>
      <c r="F81" s="14"/>
      <c r="G81" s="15"/>
      <c r="H81" s="14"/>
    </row>
    <row r="82" ht="15.75" customHeight="1">
      <c r="A82" s="13"/>
      <c r="B82" s="14"/>
      <c r="C82" s="14"/>
      <c r="D82" s="14"/>
      <c r="E82" s="14"/>
      <c r="F82" s="14"/>
      <c r="G82" s="15"/>
      <c r="H82" s="14"/>
    </row>
    <row r="83" ht="15.75" customHeight="1">
      <c r="A83" s="13"/>
      <c r="B83" s="14"/>
      <c r="C83" s="14"/>
      <c r="D83" s="14"/>
      <c r="E83" s="14"/>
      <c r="F83" s="14"/>
      <c r="G83" s="15"/>
      <c r="H83" s="14"/>
    </row>
    <row r="84" ht="15.75" customHeight="1">
      <c r="A84" s="13"/>
      <c r="B84" s="14"/>
      <c r="C84" s="14"/>
      <c r="D84" s="14"/>
      <c r="E84" s="14"/>
      <c r="F84" s="14"/>
      <c r="G84" s="15"/>
      <c r="H84" s="14"/>
    </row>
    <row r="85" ht="15.75" customHeight="1">
      <c r="A85" s="13"/>
      <c r="B85" s="14"/>
      <c r="C85" s="14"/>
      <c r="D85" s="14"/>
      <c r="E85" s="14"/>
      <c r="F85" s="14"/>
      <c r="G85" s="15"/>
      <c r="H85" s="14"/>
    </row>
    <row r="86" ht="15.75" customHeight="1">
      <c r="A86" s="13"/>
      <c r="B86" s="14"/>
      <c r="C86" s="14"/>
      <c r="D86" s="14"/>
      <c r="E86" s="14"/>
      <c r="F86" s="14"/>
      <c r="G86" s="15"/>
      <c r="H86" s="14"/>
    </row>
    <row r="87" ht="15.75" customHeight="1">
      <c r="A87" s="13"/>
      <c r="B87" s="14"/>
      <c r="C87" s="14"/>
      <c r="D87" s="14"/>
      <c r="E87" s="14"/>
      <c r="F87" s="14"/>
      <c r="G87" s="15"/>
      <c r="H87" s="14"/>
    </row>
    <row r="88" ht="15.75" customHeight="1">
      <c r="A88" s="13"/>
      <c r="B88" s="14"/>
      <c r="C88" s="14"/>
      <c r="D88" s="14"/>
      <c r="E88" s="14"/>
      <c r="F88" s="14"/>
      <c r="G88" s="15"/>
      <c r="H88" s="14"/>
    </row>
    <row r="89" ht="15.75" customHeight="1">
      <c r="A89" s="13"/>
      <c r="B89" s="14"/>
      <c r="C89" s="14"/>
      <c r="D89" s="14"/>
      <c r="E89" s="14"/>
      <c r="F89" s="14"/>
      <c r="G89" s="15"/>
      <c r="H89" s="14"/>
    </row>
    <row r="90" ht="15.75" customHeight="1">
      <c r="A90" s="13"/>
      <c r="B90" s="14"/>
      <c r="C90" s="14"/>
      <c r="D90" s="14"/>
      <c r="E90" s="14"/>
      <c r="F90" s="14"/>
      <c r="G90" s="15"/>
      <c r="H90" s="14"/>
    </row>
    <row r="91" ht="15.75" customHeight="1">
      <c r="A91" s="13"/>
      <c r="B91" s="14"/>
      <c r="C91" s="14"/>
      <c r="D91" s="14"/>
      <c r="E91" s="14"/>
      <c r="F91" s="14"/>
      <c r="G91" s="15"/>
      <c r="H91" s="14"/>
    </row>
    <row r="92" ht="15.75" customHeight="1">
      <c r="A92" s="13"/>
      <c r="B92" s="14"/>
      <c r="C92" s="14"/>
      <c r="D92" s="14"/>
      <c r="E92" s="14"/>
      <c r="F92" s="14"/>
      <c r="G92" s="15"/>
      <c r="H92" s="14"/>
    </row>
    <row r="93" ht="15.75" customHeight="1">
      <c r="A93" s="13"/>
      <c r="B93" s="14"/>
      <c r="C93" s="14"/>
      <c r="D93" s="14"/>
      <c r="E93" s="14"/>
      <c r="F93" s="14"/>
      <c r="G93" s="15"/>
      <c r="H93" s="14"/>
    </row>
    <row r="94" ht="15.75" customHeight="1">
      <c r="A94" s="13"/>
      <c r="B94" s="14"/>
      <c r="C94" s="14"/>
      <c r="D94" s="14"/>
      <c r="E94" s="14"/>
      <c r="F94" s="14"/>
      <c r="G94" s="15"/>
      <c r="H94" s="14"/>
    </row>
    <row r="95" ht="15.75" customHeight="1">
      <c r="A95" s="13"/>
      <c r="B95" s="14"/>
      <c r="C95" s="14"/>
      <c r="D95" s="14"/>
      <c r="E95" s="14"/>
      <c r="F95" s="14"/>
      <c r="G95" s="15"/>
      <c r="H95" s="14"/>
    </row>
    <row r="96" ht="15.75" customHeight="1">
      <c r="A96" s="13"/>
      <c r="B96" s="14"/>
      <c r="C96" s="14"/>
      <c r="D96" s="14"/>
      <c r="E96" s="14"/>
      <c r="F96" s="14"/>
      <c r="G96" s="15"/>
      <c r="H96" s="14"/>
    </row>
    <row r="97" ht="15.75" customHeight="1">
      <c r="A97" s="13"/>
      <c r="B97" s="14"/>
      <c r="C97" s="14"/>
      <c r="D97" s="14"/>
      <c r="E97" s="14"/>
      <c r="F97" s="14"/>
      <c r="G97" s="15"/>
      <c r="H97" s="14"/>
    </row>
    <row r="98" ht="15.75" customHeight="1">
      <c r="A98" s="13"/>
      <c r="B98" s="14"/>
      <c r="C98" s="14"/>
      <c r="D98" s="14"/>
      <c r="E98" s="14"/>
      <c r="F98" s="14"/>
      <c r="G98" s="15"/>
      <c r="H98" s="14"/>
    </row>
    <row r="99" ht="15.75" customHeight="1">
      <c r="A99" s="13"/>
      <c r="B99" s="14"/>
      <c r="C99" s="14"/>
      <c r="D99" s="14"/>
      <c r="E99" s="14"/>
      <c r="F99" s="14"/>
      <c r="G99" s="15"/>
      <c r="H99" s="14"/>
    </row>
    <row r="100" ht="15.75" customHeight="1">
      <c r="A100" s="13"/>
      <c r="B100" s="14"/>
      <c r="C100" s="14"/>
      <c r="D100" s="14"/>
      <c r="E100" s="14"/>
      <c r="F100" s="14"/>
      <c r="G100" s="15"/>
      <c r="H100" s="14"/>
    </row>
    <row r="101" ht="15.75" customHeight="1">
      <c r="A101" s="13"/>
      <c r="B101" s="14"/>
      <c r="C101" s="14"/>
      <c r="D101" s="14"/>
      <c r="E101" s="14"/>
      <c r="F101" s="14"/>
      <c r="G101" s="15"/>
      <c r="H101" s="14"/>
    </row>
    <row r="102" ht="15.75" customHeight="1">
      <c r="A102" s="13"/>
      <c r="B102" s="14"/>
      <c r="C102" s="14"/>
      <c r="D102" s="14"/>
      <c r="E102" s="14"/>
      <c r="F102" s="14"/>
      <c r="G102" s="15"/>
      <c r="H102" s="14"/>
    </row>
    <row r="103" ht="15.75" customHeight="1">
      <c r="A103" s="13"/>
      <c r="B103" s="14"/>
      <c r="C103" s="14"/>
      <c r="D103" s="14"/>
      <c r="E103" s="14"/>
      <c r="F103" s="14"/>
      <c r="G103" s="15"/>
      <c r="H103" s="14"/>
    </row>
    <row r="104" ht="15.75" customHeight="1">
      <c r="A104" s="13"/>
      <c r="B104" s="14"/>
      <c r="C104" s="14"/>
      <c r="D104" s="14"/>
      <c r="E104" s="14"/>
      <c r="F104" s="14"/>
      <c r="G104" s="15"/>
      <c r="H104" s="14"/>
    </row>
    <row r="105" ht="15.75" customHeight="1">
      <c r="A105" s="13"/>
      <c r="B105" s="14"/>
      <c r="C105" s="14"/>
      <c r="D105" s="14"/>
      <c r="E105" s="14"/>
      <c r="F105" s="14"/>
      <c r="G105" s="15"/>
      <c r="H105" s="14"/>
    </row>
    <row r="106" ht="15.75" customHeight="1">
      <c r="A106" s="13"/>
      <c r="B106" s="14"/>
      <c r="C106" s="14"/>
      <c r="D106" s="14"/>
      <c r="E106" s="14"/>
      <c r="F106" s="14"/>
      <c r="G106" s="15"/>
      <c r="H106" s="14"/>
    </row>
    <row r="107" ht="15.75" customHeight="1">
      <c r="A107" s="13"/>
      <c r="B107" s="14"/>
      <c r="C107" s="14"/>
      <c r="D107" s="14"/>
      <c r="E107" s="14"/>
      <c r="F107" s="14"/>
      <c r="G107" s="15"/>
      <c r="H107" s="14"/>
    </row>
    <row r="108" ht="15.75" customHeight="1">
      <c r="A108" s="13"/>
      <c r="B108" s="14"/>
      <c r="C108" s="14"/>
      <c r="D108" s="14"/>
      <c r="E108" s="14"/>
      <c r="F108" s="14"/>
      <c r="G108" s="15"/>
      <c r="H108" s="14"/>
    </row>
    <row r="109" ht="15.75" customHeight="1">
      <c r="A109" s="13"/>
      <c r="B109" s="14"/>
      <c r="C109" s="14"/>
      <c r="D109" s="14"/>
      <c r="E109" s="14"/>
      <c r="F109" s="14"/>
      <c r="G109" s="15"/>
      <c r="H109" s="14"/>
    </row>
    <row r="110" ht="15.75" customHeight="1">
      <c r="A110" s="13"/>
      <c r="B110" s="14"/>
      <c r="C110" s="14"/>
      <c r="D110" s="14"/>
      <c r="E110" s="14"/>
      <c r="F110" s="14"/>
      <c r="G110" s="15"/>
      <c r="H110" s="14"/>
    </row>
    <row r="111" ht="15.75" customHeight="1">
      <c r="A111" s="13"/>
      <c r="B111" s="14"/>
      <c r="C111" s="14"/>
      <c r="D111" s="14"/>
      <c r="E111" s="14"/>
      <c r="F111" s="14"/>
      <c r="G111" s="15"/>
      <c r="H111" s="14"/>
    </row>
    <row r="112" ht="15.75" customHeight="1">
      <c r="A112" s="13"/>
      <c r="B112" s="14"/>
      <c r="C112" s="14"/>
      <c r="D112" s="14"/>
      <c r="E112" s="14"/>
      <c r="F112" s="14"/>
      <c r="G112" s="15"/>
      <c r="H112" s="14"/>
    </row>
    <row r="113" ht="15.75" customHeight="1">
      <c r="A113" s="13"/>
      <c r="B113" s="14"/>
      <c r="C113" s="14"/>
      <c r="D113" s="14"/>
      <c r="E113" s="14"/>
      <c r="F113" s="14"/>
      <c r="G113" s="15"/>
      <c r="H113" s="14"/>
    </row>
    <row r="114" ht="15.75" customHeight="1">
      <c r="A114" s="13"/>
      <c r="B114" s="14"/>
      <c r="C114" s="14"/>
      <c r="D114" s="14"/>
      <c r="E114" s="14"/>
      <c r="F114" s="14"/>
      <c r="G114" s="15"/>
      <c r="H114" s="14"/>
    </row>
    <row r="115" ht="15.75" customHeight="1">
      <c r="A115" s="13"/>
      <c r="B115" s="14"/>
      <c r="C115" s="14"/>
      <c r="D115" s="14"/>
      <c r="E115" s="14"/>
      <c r="F115" s="14"/>
      <c r="G115" s="15"/>
      <c r="H115" s="14"/>
    </row>
    <row r="116" ht="15.75" customHeight="1">
      <c r="A116" s="13"/>
      <c r="B116" s="14"/>
      <c r="C116" s="14"/>
      <c r="D116" s="14"/>
      <c r="E116" s="14"/>
      <c r="F116" s="14"/>
      <c r="G116" s="15"/>
      <c r="H116" s="14"/>
    </row>
    <row r="117" ht="15.75" customHeight="1">
      <c r="A117" s="13"/>
      <c r="B117" s="14"/>
      <c r="C117" s="14"/>
      <c r="D117" s="14"/>
      <c r="E117" s="14"/>
      <c r="F117" s="14"/>
      <c r="G117" s="15"/>
      <c r="H117" s="14"/>
    </row>
    <row r="118" ht="15.75" customHeight="1">
      <c r="A118" s="13"/>
      <c r="B118" s="14"/>
      <c r="C118" s="14"/>
      <c r="D118" s="14"/>
      <c r="E118" s="14"/>
      <c r="F118" s="14"/>
      <c r="G118" s="15"/>
      <c r="H118" s="14"/>
    </row>
    <row r="119" ht="15.75" customHeight="1">
      <c r="A119" s="13"/>
      <c r="B119" s="14"/>
      <c r="C119" s="14"/>
      <c r="D119" s="14"/>
      <c r="E119" s="14"/>
      <c r="F119" s="14"/>
      <c r="G119" s="15"/>
      <c r="H119" s="14"/>
    </row>
    <row r="120" ht="15.75" customHeight="1">
      <c r="A120" s="13"/>
      <c r="B120" s="14"/>
      <c r="C120" s="14"/>
      <c r="D120" s="14"/>
      <c r="E120" s="14"/>
      <c r="F120" s="14"/>
      <c r="G120" s="15"/>
      <c r="H120" s="14"/>
    </row>
    <row r="121" ht="15.75" customHeight="1">
      <c r="A121" s="13"/>
      <c r="B121" s="14"/>
      <c r="C121" s="14"/>
      <c r="D121" s="14"/>
      <c r="E121" s="14"/>
      <c r="F121" s="14"/>
      <c r="G121" s="15"/>
      <c r="H121" s="14"/>
    </row>
    <row r="122" ht="15.75" customHeight="1">
      <c r="A122" s="13"/>
      <c r="B122" s="14"/>
      <c r="C122" s="14"/>
      <c r="D122" s="14"/>
      <c r="E122" s="14"/>
      <c r="F122" s="14"/>
      <c r="G122" s="15"/>
      <c r="H122" s="14"/>
    </row>
    <row r="123" ht="15.75" customHeight="1">
      <c r="A123" s="13"/>
      <c r="B123" s="14"/>
      <c r="C123" s="14"/>
      <c r="D123" s="14"/>
      <c r="E123" s="14"/>
      <c r="F123" s="14"/>
      <c r="G123" s="15"/>
      <c r="H123" s="14"/>
    </row>
    <row r="124" ht="15.75" customHeight="1">
      <c r="A124" s="13"/>
      <c r="B124" s="14"/>
      <c r="C124" s="14"/>
      <c r="D124" s="14"/>
      <c r="E124" s="14"/>
      <c r="F124" s="14"/>
      <c r="G124" s="15"/>
      <c r="H124" s="14"/>
    </row>
    <row r="125" ht="15.75" customHeight="1">
      <c r="A125" s="13"/>
      <c r="B125" s="14"/>
      <c r="C125" s="14"/>
      <c r="D125" s="14"/>
      <c r="E125" s="14"/>
      <c r="F125" s="14"/>
      <c r="G125" s="15"/>
      <c r="H125" s="14"/>
    </row>
    <row r="126" ht="15.75" customHeight="1">
      <c r="A126" s="13"/>
      <c r="B126" s="14"/>
      <c r="C126" s="14"/>
      <c r="D126" s="14"/>
      <c r="E126" s="14"/>
      <c r="F126" s="14"/>
      <c r="G126" s="15"/>
      <c r="H126" s="14"/>
    </row>
    <row r="127" ht="15.75" customHeight="1">
      <c r="A127" s="13"/>
      <c r="B127" s="14"/>
      <c r="C127" s="14"/>
      <c r="D127" s="14"/>
      <c r="E127" s="14"/>
      <c r="F127" s="14"/>
      <c r="G127" s="15"/>
      <c r="H127" s="14"/>
    </row>
    <row r="128" ht="15.75" customHeight="1">
      <c r="A128" s="13"/>
      <c r="B128" s="14"/>
      <c r="C128" s="14"/>
      <c r="D128" s="14"/>
      <c r="E128" s="14"/>
      <c r="F128" s="14"/>
      <c r="G128" s="15"/>
      <c r="H128" s="14"/>
    </row>
    <row r="129" ht="15.75" customHeight="1">
      <c r="A129" s="13"/>
      <c r="B129" s="14"/>
      <c r="C129" s="14"/>
      <c r="D129" s="14"/>
      <c r="E129" s="14"/>
      <c r="F129" s="14"/>
      <c r="G129" s="15"/>
      <c r="H129" s="14"/>
    </row>
    <row r="130" ht="15.75" customHeight="1">
      <c r="A130" s="13"/>
      <c r="B130" s="14"/>
      <c r="C130" s="14"/>
      <c r="D130" s="14"/>
      <c r="E130" s="14"/>
      <c r="F130" s="14"/>
      <c r="G130" s="15"/>
      <c r="H130" s="14"/>
    </row>
    <row r="131" ht="15.75" customHeight="1">
      <c r="A131" s="13"/>
      <c r="B131" s="14"/>
      <c r="C131" s="14"/>
      <c r="D131" s="14"/>
      <c r="E131" s="14"/>
      <c r="F131" s="14"/>
      <c r="G131" s="15"/>
      <c r="H131" s="14"/>
    </row>
    <row r="132" ht="15.75" customHeight="1">
      <c r="A132" s="13"/>
      <c r="B132" s="14"/>
      <c r="C132" s="14"/>
      <c r="D132" s="14"/>
      <c r="E132" s="14"/>
      <c r="F132" s="14"/>
      <c r="G132" s="15"/>
      <c r="H132" s="14"/>
    </row>
    <row r="133" ht="15.75" customHeight="1">
      <c r="A133" s="13"/>
      <c r="B133" s="14"/>
      <c r="C133" s="14"/>
      <c r="D133" s="14"/>
      <c r="E133" s="14"/>
      <c r="F133" s="14"/>
      <c r="G133" s="15"/>
      <c r="H133" s="14"/>
    </row>
    <row r="134" ht="15.75" customHeight="1">
      <c r="A134" s="13"/>
      <c r="B134" s="14"/>
      <c r="C134" s="14"/>
      <c r="D134" s="14"/>
      <c r="E134" s="14"/>
      <c r="F134" s="14"/>
      <c r="G134" s="15"/>
      <c r="H134" s="14"/>
    </row>
    <row r="135" ht="15.75" customHeight="1">
      <c r="A135" s="13"/>
      <c r="B135" s="14"/>
      <c r="C135" s="14"/>
      <c r="D135" s="14"/>
      <c r="E135" s="14"/>
      <c r="F135" s="14"/>
      <c r="G135" s="15"/>
      <c r="H135" s="14"/>
    </row>
    <row r="136" ht="15.75" customHeight="1">
      <c r="A136" s="13"/>
      <c r="B136" s="14"/>
      <c r="C136" s="14"/>
      <c r="D136" s="14"/>
      <c r="E136" s="14"/>
      <c r="F136" s="14"/>
      <c r="G136" s="15"/>
      <c r="H136" s="14"/>
    </row>
    <row r="137" ht="15.75" customHeight="1">
      <c r="A137" s="13"/>
      <c r="B137" s="14"/>
      <c r="C137" s="14"/>
      <c r="D137" s="14"/>
      <c r="E137" s="14"/>
      <c r="F137" s="14"/>
      <c r="G137" s="15"/>
      <c r="H137" s="14"/>
    </row>
    <row r="138" ht="15.75" customHeight="1">
      <c r="A138" s="13"/>
      <c r="B138" s="14"/>
      <c r="C138" s="14"/>
      <c r="D138" s="14"/>
      <c r="E138" s="14"/>
      <c r="F138" s="14"/>
      <c r="G138" s="15"/>
      <c r="H138" s="14"/>
    </row>
    <row r="139" ht="15.75" customHeight="1">
      <c r="A139" s="13"/>
      <c r="B139" s="14"/>
      <c r="C139" s="14"/>
      <c r="D139" s="14"/>
      <c r="E139" s="14"/>
      <c r="F139" s="14"/>
      <c r="G139" s="15"/>
      <c r="H139" s="14"/>
    </row>
    <row r="140" ht="15.75" customHeight="1">
      <c r="A140" s="13"/>
      <c r="B140" s="14"/>
      <c r="C140" s="14"/>
      <c r="D140" s="14"/>
      <c r="E140" s="14"/>
      <c r="F140" s="14"/>
      <c r="G140" s="15"/>
      <c r="H140" s="14"/>
    </row>
    <row r="141" ht="15.75" customHeight="1">
      <c r="A141" s="13"/>
      <c r="B141" s="14"/>
      <c r="C141" s="14"/>
      <c r="D141" s="14"/>
      <c r="E141" s="14"/>
      <c r="F141" s="14"/>
      <c r="G141" s="15"/>
      <c r="H141" s="14"/>
    </row>
    <row r="142" ht="15.75" customHeight="1">
      <c r="A142" s="13"/>
      <c r="B142" s="14"/>
      <c r="C142" s="14"/>
      <c r="D142" s="14"/>
      <c r="E142" s="14"/>
      <c r="F142" s="14"/>
      <c r="G142" s="15"/>
      <c r="H142" s="14"/>
    </row>
    <row r="143" ht="15.75" customHeight="1">
      <c r="A143" s="13"/>
      <c r="B143" s="14"/>
      <c r="C143" s="14"/>
      <c r="D143" s="14"/>
      <c r="E143" s="14"/>
      <c r="F143" s="14"/>
      <c r="G143" s="15"/>
      <c r="H143" s="14"/>
    </row>
    <row r="144" ht="15.75" customHeight="1">
      <c r="A144" s="13"/>
      <c r="B144" s="14"/>
      <c r="C144" s="14"/>
      <c r="D144" s="14"/>
      <c r="E144" s="14"/>
      <c r="F144" s="14"/>
      <c r="G144" s="15"/>
      <c r="H144" s="14"/>
    </row>
    <row r="145" ht="15.75" customHeight="1">
      <c r="A145" s="13"/>
      <c r="B145" s="14"/>
      <c r="C145" s="14"/>
      <c r="D145" s="14"/>
      <c r="E145" s="14"/>
      <c r="F145" s="14"/>
      <c r="G145" s="15"/>
      <c r="H145" s="14"/>
    </row>
    <row r="146" ht="15.75" customHeight="1">
      <c r="A146" s="13"/>
      <c r="B146" s="14"/>
      <c r="C146" s="14"/>
      <c r="D146" s="14"/>
      <c r="E146" s="14"/>
      <c r="F146" s="14"/>
      <c r="G146" s="15"/>
      <c r="H146" s="14"/>
    </row>
    <row r="147" ht="15.75" customHeight="1">
      <c r="A147" s="13"/>
      <c r="B147" s="14"/>
      <c r="C147" s="14"/>
      <c r="D147" s="14"/>
      <c r="E147" s="14"/>
      <c r="F147" s="14"/>
      <c r="G147" s="15"/>
      <c r="H147" s="14"/>
    </row>
    <row r="148" ht="15.75" customHeight="1">
      <c r="A148" s="13"/>
      <c r="B148" s="14"/>
      <c r="C148" s="14"/>
      <c r="D148" s="14"/>
      <c r="E148" s="14"/>
      <c r="F148" s="14"/>
      <c r="G148" s="15"/>
      <c r="H148" s="14"/>
    </row>
    <row r="149" ht="15.75" customHeight="1">
      <c r="A149" s="13"/>
      <c r="B149" s="14"/>
      <c r="C149" s="14"/>
      <c r="D149" s="14"/>
      <c r="E149" s="14"/>
      <c r="F149" s="14"/>
      <c r="G149" s="15"/>
      <c r="H149" s="14"/>
    </row>
    <row r="150" ht="15.75" customHeight="1">
      <c r="A150" s="13"/>
      <c r="B150" s="14"/>
      <c r="C150" s="14"/>
      <c r="D150" s="14"/>
      <c r="E150" s="14"/>
      <c r="F150" s="14"/>
      <c r="G150" s="15"/>
      <c r="H150" s="14"/>
    </row>
    <row r="151" ht="15.75" customHeight="1">
      <c r="A151" s="13"/>
      <c r="B151" s="14"/>
      <c r="C151" s="14"/>
      <c r="D151" s="14"/>
      <c r="E151" s="14"/>
      <c r="F151" s="14"/>
      <c r="G151" s="15"/>
      <c r="H151" s="14"/>
    </row>
    <row r="152" ht="15.75" customHeight="1">
      <c r="A152" s="13"/>
      <c r="B152" s="14"/>
      <c r="C152" s="14"/>
      <c r="D152" s="14"/>
      <c r="E152" s="14"/>
      <c r="F152" s="14"/>
      <c r="G152" s="15"/>
      <c r="H152" s="14"/>
    </row>
    <row r="153" ht="15.75" customHeight="1">
      <c r="A153" s="13"/>
      <c r="B153" s="14"/>
      <c r="C153" s="14"/>
      <c r="D153" s="14"/>
      <c r="E153" s="14"/>
      <c r="F153" s="14"/>
      <c r="G153" s="15"/>
      <c r="H153" s="14"/>
    </row>
    <row r="154" ht="15.75" customHeight="1">
      <c r="A154" s="13"/>
      <c r="B154" s="14"/>
      <c r="C154" s="14"/>
      <c r="D154" s="14"/>
      <c r="E154" s="14"/>
      <c r="F154" s="14"/>
      <c r="G154" s="15"/>
      <c r="H154" s="14"/>
    </row>
    <row r="155" ht="15.75" customHeight="1">
      <c r="A155" s="13"/>
      <c r="B155" s="14"/>
      <c r="C155" s="14"/>
      <c r="D155" s="14"/>
      <c r="E155" s="14"/>
      <c r="F155" s="14"/>
      <c r="G155" s="15"/>
      <c r="H155" s="14"/>
    </row>
    <row r="156" ht="15.75" customHeight="1">
      <c r="A156" s="13"/>
      <c r="B156" s="14"/>
      <c r="C156" s="14"/>
      <c r="D156" s="14"/>
      <c r="E156" s="14"/>
      <c r="F156" s="14"/>
      <c r="G156" s="15"/>
      <c r="H156" s="14"/>
    </row>
    <row r="157" ht="15.75" customHeight="1">
      <c r="A157" s="13"/>
      <c r="B157" s="14"/>
      <c r="C157" s="14"/>
      <c r="D157" s="14"/>
      <c r="E157" s="14"/>
      <c r="F157" s="14"/>
      <c r="G157" s="15"/>
      <c r="H157" s="14"/>
    </row>
    <row r="158" ht="15.75" customHeight="1">
      <c r="A158" s="13"/>
      <c r="B158" s="14"/>
      <c r="C158" s="14"/>
      <c r="D158" s="14"/>
      <c r="E158" s="14"/>
      <c r="F158" s="14"/>
      <c r="G158" s="15"/>
      <c r="H158" s="14"/>
    </row>
    <row r="159" ht="15.75" customHeight="1">
      <c r="A159" s="13"/>
      <c r="B159" s="14"/>
      <c r="C159" s="14"/>
      <c r="D159" s="14"/>
      <c r="E159" s="14"/>
      <c r="F159" s="14"/>
      <c r="G159" s="15"/>
      <c r="H159" s="14"/>
    </row>
    <row r="160" ht="15.75" customHeight="1">
      <c r="A160" s="13"/>
      <c r="B160" s="14"/>
      <c r="C160" s="14"/>
      <c r="D160" s="14"/>
      <c r="E160" s="14"/>
      <c r="F160" s="14"/>
      <c r="G160" s="15"/>
      <c r="H160" s="14"/>
    </row>
    <row r="161" ht="15.75" customHeight="1">
      <c r="A161" s="13"/>
      <c r="B161" s="14"/>
      <c r="C161" s="14"/>
      <c r="D161" s="14"/>
      <c r="E161" s="14"/>
      <c r="F161" s="14"/>
      <c r="G161" s="15"/>
      <c r="H161" s="14"/>
    </row>
    <row r="162" ht="15.75" customHeight="1">
      <c r="A162" s="13"/>
      <c r="B162" s="14"/>
      <c r="C162" s="14"/>
      <c r="D162" s="14"/>
      <c r="E162" s="14"/>
      <c r="F162" s="14"/>
      <c r="G162" s="15"/>
      <c r="H162" s="14"/>
    </row>
    <row r="163" ht="15.75" customHeight="1">
      <c r="A163" s="13"/>
      <c r="B163" s="14"/>
      <c r="C163" s="14"/>
      <c r="D163" s="14"/>
      <c r="E163" s="14"/>
      <c r="F163" s="14"/>
      <c r="G163" s="15"/>
      <c r="H163" s="14"/>
    </row>
    <row r="164" ht="15.75" customHeight="1">
      <c r="A164" s="13"/>
      <c r="B164" s="14"/>
      <c r="C164" s="14"/>
      <c r="D164" s="14"/>
      <c r="E164" s="14"/>
      <c r="F164" s="14"/>
      <c r="G164" s="15"/>
      <c r="H164" s="14"/>
    </row>
    <row r="165" ht="15.75" customHeight="1">
      <c r="A165" s="13"/>
      <c r="B165" s="14"/>
      <c r="C165" s="14"/>
      <c r="D165" s="14"/>
      <c r="E165" s="14"/>
      <c r="F165" s="14"/>
      <c r="G165" s="15"/>
      <c r="H165" s="14"/>
    </row>
    <row r="166" ht="15.75" customHeight="1">
      <c r="A166" s="13"/>
      <c r="B166" s="14"/>
      <c r="C166" s="14"/>
      <c r="D166" s="14"/>
      <c r="E166" s="14"/>
      <c r="F166" s="14"/>
      <c r="G166" s="15"/>
      <c r="H166" s="14"/>
    </row>
    <row r="167" ht="15.75" customHeight="1">
      <c r="A167" s="13"/>
      <c r="B167" s="14"/>
      <c r="C167" s="14"/>
      <c r="D167" s="14"/>
      <c r="E167" s="14"/>
      <c r="F167" s="14"/>
      <c r="G167" s="15"/>
      <c r="H167" s="14"/>
    </row>
    <row r="168" ht="15.75" customHeight="1">
      <c r="A168" s="13"/>
      <c r="B168" s="14"/>
      <c r="C168" s="14"/>
      <c r="D168" s="14"/>
      <c r="E168" s="14"/>
      <c r="F168" s="14"/>
      <c r="G168" s="15"/>
      <c r="H168" s="14"/>
    </row>
    <row r="169" ht="15.75" customHeight="1">
      <c r="A169" s="13"/>
      <c r="B169" s="14"/>
      <c r="C169" s="14"/>
      <c r="D169" s="14"/>
      <c r="E169" s="14"/>
      <c r="F169" s="14"/>
      <c r="G169" s="15"/>
      <c r="H169" s="14"/>
    </row>
    <row r="170" ht="15.75" customHeight="1">
      <c r="A170" s="13"/>
      <c r="B170" s="14"/>
      <c r="C170" s="14"/>
      <c r="D170" s="14"/>
      <c r="E170" s="14"/>
      <c r="F170" s="14"/>
      <c r="G170" s="15"/>
      <c r="H170" s="14"/>
    </row>
    <row r="171" ht="15.75" customHeight="1">
      <c r="A171" s="13"/>
      <c r="B171" s="14"/>
      <c r="C171" s="14"/>
      <c r="D171" s="14"/>
      <c r="E171" s="14"/>
      <c r="F171" s="14"/>
      <c r="G171" s="15"/>
      <c r="H171" s="14"/>
    </row>
    <row r="172" ht="15.75" customHeight="1">
      <c r="A172" s="13"/>
      <c r="B172" s="14"/>
      <c r="C172" s="14"/>
      <c r="D172" s="14"/>
      <c r="E172" s="14"/>
      <c r="F172" s="14"/>
      <c r="G172" s="15"/>
      <c r="H172" s="14"/>
    </row>
    <row r="173" ht="15.75" customHeight="1">
      <c r="A173" s="13"/>
      <c r="B173" s="14"/>
      <c r="C173" s="14"/>
      <c r="D173" s="14"/>
      <c r="E173" s="14"/>
      <c r="F173" s="14"/>
      <c r="G173" s="15"/>
      <c r="H173" s="14"/>
    </row>
    <row r="174" ht="15.75" customHeight="1">
      <c r="A174" s="13"/>
      <c r="B174" s="14"/>
      <c r="C174" s="14"/>
      <c r="D174" s="14"/>
      <c r="E174" s="14"/>
      <c r="F174" s="14"/>
      <c r="G174" s="15"/>
      <c r="H174" s="14"/>
    </row>
    <row r="175" ht="15.75" customHeight="1">
      <c r="A175" s="13"/>
      <c r="B175" s="14"/>
      <c r="C175" s="14"/>
      <c r="D175" s="14"/>
      <c r="E175" s="14"/>
      <c r="F175" s="14"/>
      <c r="G175" s="15"/>
      <c r="H175" s="14"/>
    </row>
    <row r="176" ht="15.75" customHeight="1">
      <c r="A176" s="13"/>
      <c r="B176" s="14"/>
      <c r="C176" s="14"/>
      <c r="D176" s="14"/>
      <c r="E176" s="14"/>
      <c r="F176" s="14"/>
      <c r="G176" s="15"/>
      <c r="H176" s="14"/>
    </row>
    <row r="177" ht="15.75" customHeight="1">
      <c r="A177" s="13"/>
      <c r="B177" s="14"/>
      <c r="C177" s="14"/>
      <c r="D177" s="14"/>
      <c r="E177" s="14"/>
      <c r="F177" s="14"/>
      <c r="G177" s="15"/>
      <c r="H177" s="14"/>
    </row>
    <row r="178" ht="15.75" customHeight="1">
      <c r="A178" s="13"/>
      <c r="B178" s="14"/>
      <c r="C178" s="14"/>
      <c r="D178" s="14"/>
      <c r="E178" s="14"/>
      <c r="F178" s="14"/>
      <c r="G178" s="15"/>
      <c r="H178" s="14"/>
    </row>
    <row r="179" ht="15.75" customHeight="1">
      <c r="A179" s="13"/>
      <c r="B179" s="14"/>
      <c r="C179" s="14"/>
      <c r="D179" s="14"/>
      <c r="E179" s="14"/>
      <c r="F179" s="14"/>
      <c r="G179" s="15"/>
      <c r="H179" s="14"/>
    </row>
    <row r="180" ht="15.75" customHeight="1">
      <c r="A180" s="13"/>
      <c r="B180" s="14"/>
      <c r="C180" s="14"/>
      <c r="D180" s="14"/>
      <c r="E180" s="14"/>
      <c r="F180" s="14"/>
      <c r="G180" s="15"/>
      <c r="H180" s="14"/>
    </row>
    <row r="181" ht="15.75" customHeight="1">
      <c r="A181" s="13"/>
      <c r="B181" s="14"/>
      <c r="C181" s="14"/>
      <c r="D181" s="14"/>
      <c r="E181" s="14"/>
      <c r="F181" s="14"/>
      <c r="G181" s="15"/>
      <c r="H181" s="14"/>
    </row>
    <row r="182" ht="15.75" customHeight="1">
      <c r="A182" s="13"/>
      <c r="B182" s="14"/>
      <c r="C182" s="14"/>
      <c r="D182" s="14"/>
      <c r="E182" s="14"/>
      <c r="F182" s="14"/>
      <c r="G182" s="15"/>
      <c r="H182" s="14"/>
    </row>
    <row r="183" ht="15.75" customHeight="1">
      <c r="A183" s="13"/>
      <c r="B183" s="14"/>
      <c r="C183" s="14"/>
      <c r="D183" s="14"/>
      <c r="E183" s="14"/>
      <c r="F183" s="14"/>
      <c r="G183" s="15"/>
      <c r="H183" s="14"/>
    </row>
    <row r="184" ht="15.75" customHeight="1">
      <c r="A184" s="13"/>
      <c r="B184" s="14"/>
      <c r="C184" s="14"/>
      <c r="D184" s="14"/>
      <c r="E184" s="14"/>
      <c r="F184" s="14"/>
      <c r="G184" s="15"/>
      <c r="H184" s="14"/>
    </row>
    <row r="185" ht="15.75" customHeight="1">
      <c r="A185" s="13"/>
      <c r="B185" s="14"/>
      <c r="C185" s="14"/>
      <c r="D185" s="14"/>
      <c r="E185" s="14"/>
      <c r="F185" s="14"/>
      <c r="G185" s="15"/>
      <c r="H185" s="14"/>
    </row>
    <row r="186" ht="15.75" customHeight="1">
      <c r="A186" s="13"/>
      <c r="B186" s="14"/>
      <c r="C186" s="14"/>
      <c r="D186" s="14"/>
      <c r="E186" s="14"/>
      <c r="F186" s="14"/>
      <c r="G186" s="15"/>
      <c r="H186" s="14"/>
    </row>
    <row r="187" ht="15.75" customHeight="1">
      <c r="A187" s="13"/>
      <c r="B187" s="14"/>
      <c r="C187" s="14"/>
      <c r="D187" s="14"/>
      <c r="E187" s="14"/>
      <c r="F187" s="14"/>
      <c r="G187" s="15"/>
      <c r="H187" s="14"/>
    </row>
    <row r="188" ht="15.75" customHeight="1">
      <c r="A188" s="13"/>
      <c r="B188" s="14"/>
      <c r="C188" s="14"/>
      <c r="D188" s="14"/>
      <c r="E188" s="14"/>
      <c r="F188" s="14"/>
      <c r="G188" s="15"/>
      <c r="H188" s="14"/>
    </row>
    <row r="189" ht="15.75" customHeight="1">
      <c r="A189" s="13"/>
      <c r="B189" s="14"/>
      <c r="C189" s="14"/>
      <c r="D189" s="14"/>
      <c r="E189" s="14"/>
      <c r="F189" s="14"/>
      <c r="G189" s="15"/>
      <c r="H189" s="14"/>
    </row>
    <row r="190" ht="15.75" customHeight="1">
      <c r="A190" s="13"/>
      <c r="B190" s="14"/>
      <c r="C190" s="14"/>
      <c r="D190" s="14"/>
      <c r="E190" s="14"/>
      <c r="F190" s="14"/>
      <c r="G190" s="15"/>
      <c r="H190" s="14"/>
    </row>
    <row r="191" ht="15.75" customHeight="1">
      <c r="A191" s="13"/>
      <c r="B191" s="14"/>
      <c r="C191" s="14"/>
      <c r="D191" s="14"/>
      <c r="E191" s="14"/>
      <c r="F191" s="14"/>
      <c r="G191" s="15"/>
      <c r="H191" s="14"/>
    </row>
    <row r="192" ht="15.75" customHeight="1">
      <c r="A192" s="13"/>
      <c r="B192" s="14"/>
      <c r="C192" s="14"/>
      <c r="D192" s="14"/>
      <c r="E192" s="14"/>
      <c r="F192" s="14"/>
      <c r="G192" s="15"/>
      <c r="H192" s="14"/>
    </row>
    <row r="193" ht="15.75" customHeight="1">
      <c r="A193" s="13"/>
      <c r="B193" s="14"/>
      <c r="C193" s="14"/>
      <c r="D193" s="14"/>
      <c r="E193" s="14"/>
      <c r="F193" s="14"/>
      <c r="G193" s="15"/>
      <c r="H193" s="14"/>
    </row>
    <row r="194" ht="15.75" customHeight="1">
      <c r="A194" s="13"/>
      <c r="B194" s="14"/>
      <c r="C194" s="14"/>
      <c r="D194" s="14"/>
      <c r="E194" s="14"/>
      <c r="F194" s="14"/>
      <c r="G194" s="15"/>
      <c r="H194" s="14"/>
    </row>
    <row r="195" ht="15.75" customHeight="1">
      <c r="A195" s="13"/>
      <c r="B195" s="14"/>
      <c r="C195" s="14"/>
      <c r="D195" s="14"/>
      <c r="E195" s="14"/>
      <c r="F195" s="14"/>
      <c r="G195" s="15"/>
      <c r="H195" s="14"/>
    </row>
    <row r="196" ht="15.75" customHeight="1">
      <c r="A196" s="13"/>
      <c r="B196" s="14"/>
      <c r="C196" s="14"/>
      <c r="D196" s="14"/>
      <c r="E196" s="14"/>
      <c r="F196" s="14"/>
      <c r="G196" s="15"/>
      <c r="H196" s="14"/>
    </row>
    <row r="197" ht="15.75" customHeight="1">
      <c r="A197" s="13"/>
      <c r="B197" s="14"/>
      <c r="C197" s="14"/>
      <c r="D197" s="14"/>
      <c r="E197" s="14"/>
      <c r="F197" s="14"/>
      <c r="G197" s="15"/>
      <c r="H197" s="14"/>
    </row>
    <row r="198" ht="15.75" customHeight="1">
      <c r="A198" s="13"/>
      <c r="B198" s="14"/>
      <c r="C198" s="14"/>
      <c r="D198" s="14"/>
      <c r="E198" s="14"/>
      <c r="F198" s="14"/>
      <c r="G198" s="15"/>
      <c r="H198" s="14"/>
    </row>
    <row r="199" ht="15.75" customHeight="1">
      <c r="A199" s="13"/>
      <c r="B199" s="14"/>
      <c r="C199" s="14"/>
      <c r="D199" s="14"/>
      <c r="E199" s="14"/>
      <c r="F199" s="14"/>
      <c r="G199" s="15"/>
      <c r="H199" s="14"/>
    </row>
    <row r="200" ht="15.75" customHeight="1">
      <c r="A200" s="13"/>
      <c r="B200" s="14"/>
      <c r="C200" s="14"/>
      <c r="D200" s="14"/>
      <c r="E200" s="14"/>
      <c r="F200" s="14"/>
      <c r="G200" s="15"/>
      <c r="H200" s="14"/>
    </row>
    <row r="201" ht="15.75" customHeight="1">
      <c r="A201" s="13"/>
      <c r="B201" s="14"/>
      <c r="C201" s="14"/>
      <c r="D201" s="14"/>
      <c r="E201" s="14"/>
      <c r="F201" s="14"/>
      <c r="G201" s="15"/>
      <c r="H201" s="14"/>
    </row>
    <row r="202" ht="15.75" customHeight="1">
      <c r="A202" s="13"/>
      <c r="B202" s="14"/>
      <c r="C202" s="14"/>
      <c r="D202" s="14"/>
      <c r="E202" s="14"/>
      <c r="F202" s="14"/>
      <c r="G202" s="15"/>
      <c r="H202" s="14"/>
    </row>
    <row r="203" ht="15.75" customHeight="1">
      <c r="A203" s="13"/>
      <c r="B203" s="14"/>
      <c r="C203" s="14"/>
      <c r="D203" s="14"/>
      <c r="E203" s="14"/>
      <c r="F203" s="14"/>
      <c r="G203" s="15"/>
      <c r="H203" s="14"/>
    </row>
    <row r="204" ht="15.75" customHeight="1">
      <c r="A204" s="13"/>
      <c r="B204" s="14"/>
      <c r="C204" s="14"/>
      <c r="D204" s="14"/>
      <c r="E204" s="14"/>
      <c r="F204" s="14"/>
      <c r="G204" s="15"/>
      <c r="H204" s="14"/>
    </row>
    <row r="205" ht="15.75" customHeight="1">
      <c r="A205" s="13"/>
      <c r="B205" s="14"/>
      <c r="C205" s="14"/>
      <c r="D205" s="14"/>
      <c r="E205" s="14"/>
      <c r="F205" s="14"/>
      <c r="G205" s="15"/>
      <c r="H205" s="14"/>
    </row>
    <row r="206" ht="15.75" customHeight="1">
      <c r="A206" s="13"/>
      <c r="B206" s="14"/>
      <c r="C206" s="14"/>
      <c r="D206" s="14"/>
      <c r="E206" s="14"/>
      <c r="F206" s="14"/>
      <c r="G206" s="15"/>
      <c r="H206" s="14"/>
    </row>
    <row r="207" ht="15.75" customHeight="1">
      <c r="A207" s="13"/>
      <c r="B207" s="14"/>
      <c r="C207" s="14"/>
      <c r="D207" s="14"/>
      <c r="E207" s="14"/>
      <c r="F207" s="14"/>
      <c r="G207" s="15"/>
      <c r="H207" s="14"/>
    </row>
    <row r="208" ht="15.75" customHeight="1">
      <c r="A208" s="13"/>
      <c r="B208" s="14"/>
      <c r="C208" s="14"/>
      <c r="D208" s="14"/>
      <c r="E208" s="14"/>
      <c r="F208" s="14"/>
      <c r="G208" s="15"/>
      <c r="H208" s="14"/>
    </row>
    <row r="209" ht="15.75" customHeight="1">
      <c r="A209" s="13"/>
      <c r="B209" s="14"/>
      <c r="C209" s="14"/>
      <c r="D209" s="14"/>
      <c r="E209" s="14"/>
      <c r="F209" s="14"/>
      <c r="G209" s="15"/>
      <c r="H209" s="14"/>
    </row>
    <row r="210" ht="15.75" customHeight="1">
      <c r="A210" s="13"/>
      <c r="B210" s="14"/>
      <c r="C210" s="14"/>
      <c r="D210" s="14"/>
      <c r="E210" s="14"/>
      <c r="F210" s="14"/>
      <c r="G210" s="15"/>
      <c r="H210" s="14"/>
    </row>
    <row r="211" ht="15.75" customHeight="1">
      <c r="A211" s="13"/>
      <c r="B211" s="14"/>
      <c r="C211" s="14"/>
      <c r="D211" s="14"/>
      <c r="E211" s="14"/>
      <c r="F211" s="14"/>
      <c r="G211" s="15"/>
      <c r="H211" s="14"/>
    </row>
    <row r="212" ht="15.75" customHeight="1">
      <c r="A212" s="13"/>
      <c r="B212" s="14"/>
      <c r="C212" s="14"/>
      <c r="D212" s="14"/>
      <c r="E212" s="14"/>
      <c r="F212" s="14"/>
      <c r="G212" s="15"/>
      <c r="H212" s="14"/>
    </row>
    <row r="213" ht="15.75" customHeight="1">
      <c r="A213" s="13"/>
      <c r="B213" s="14"/>
      <c r="C213" s="14"/>
      <c r="D213" s="14"/>
      <c r="E213" s="14"/>
      <c r="F213" s="14"/>
      <c r="G213" s="15"/>
      <c r="H213" s="14"/>
    </row>
    <row r="214" ht="15.75" customHeight="1">
      <c r="A214" s="13"/>
      <c r="B214" s="14"/>
      <c r="C214" s="14"/>
      <c r="D214" s="14"/>
      <c r="E214" s="14"/>
      <c r="F214" s="14"/>
      <c r="G214" s="15"/>
      <c r="H214" s="14"/>
    </row>
    <row r="215" ht="15.75" customHeight="1">
      <c r="A215" s="13"/>
      <c r="B215" s="14"/>
      <c r="C215" s="14"/>
      <c r="D215" s="14"/>
      <c r="E215" s="14"/>
      <c r="F215" s="14"/>
      <c r="G215" s="15"/>
      <c r="H215" s="14"/>
    </row>
    <row r="216" ht="15.75" customHeight="1">
      <c r="A216" s="13"/>
      <c r="B216" s="14"/>
      <c r="C216" s="14"/>
      <c r="D216" s="14"/>
      <c r="E216" s="14"/>
      <c r="F216" s="14"/>
      <c r="G216" s="15"/>
      <c r="H216" s="14"/>
    </row>
    <row r="217" ht="15.75" customHeight="1">
      <c r="A217" s="13"/>
      <c r="B217" s="14"/>
      <c r="C217" s="14"/>
      <c r="D217" s="14"/>
      <c r="E217" s="14"/>
      <c r="F217" s="14"/>
      <c r="G217" s="15"/>
      <c r="H217" s="14"/>
    </row>
    <row r="218" ht="15.75" customHeight="1">
      <c r="A218" s="13"/>
      <c r="B218" s="14"/>
      <c r="C218" s="14"/>
      <c r="D218" s="14"/>
      <c r="E218" s="14"/>
      <c r="F218" s="14"/>
      <c r="G218" s="15"/>
      <c r="H218" s="14"/>
    </row>
    <row r="219" ht="15.75" customHeight="1">
      <c r="A219" s="13"/>
      <c r="B219" s="14"/>
      <c r="C219" s="14"/>
      <c r="D219" s="14"/>
      <c r="E219" s="14"/>
      <c r="F219" s="14"/>
      <c r="G219" s="15"/>
      <c r="H219" s="14"/>
    </row>
    <row r="220" ht="15.75" customHeight="1">
      <c r="A220" s="13"/>
      <c r="B220" s="14"/>
      <c r="C220" s="14"/>
      <c r="D220" s="14"/>
      <c r="E220" s="14"/>
      <c r="F220" s="14"/>
      <c r="G220" s="15"/>
      <c r="H220" s="14"/>
    </row>
  </sheetData>
  <mergeCells count="2">
    <mergeCell ref="A1:H1"/>
    <mergeCell ref="A2:H2"/>
  </mergeCells>
  <dataValidations>
    <dataValidation type="list" allowBlank="1" sqref="B6:B220">
      <formula1>Listas!$A$2:$A$3</formula1>
    </dataValidation>
    <dataValidation type="list" allowBlank="1" sqref="C6:C220">
      <formula1>Listas!$B$2:$B$15</formula1>
    </dataValidation>
    <dataValidation type="list" allowBlank="1" sqref="F6:F220">
      <formula1>Listas!$D$2:$D$3</formula1>
    </dataValidation>
    <dataValidation type="list" allowBlank="1" sqref="E6:E220">
      <formula1>Listas!$C$2:$C$5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20.0"/>
    <col customWidth="1" min="3" max="4" width="18.0"/>
    <col customWidth="1" min="5" max="5" width="23.0"/>
    <col customWidth="1" min="6" max="6" width="17.0"/>
    <col customWidth="1" min="7" max="7" width="16.0"/>
    <col customWidth="1" min="8" max="8" width="18.0"/>
    <col customWidth="1" min="9" max="9" width="17.0"/>
    <col customWidth="1" min="10" max="10" width="22.0"/>
    <col customWidth="1" min="11" max="11" width="15.0"/>
  </cols>
  <sheetData>
    <row r="1" ht="24.0" customHeight="1">
      <c r="A1" s="1" t="s">
        <v>24</v>
      </c>
    </row>
    <row r="2" ht="24.0" customHeight="1">
      <c r="A2" s="16" t="s">
        <v>25</v>
      </c>
    </row>
    <row r="5">
      <c r="A5" s="4" t="s">
        <v>26</v>
      </c>
      <c r="B5" s="4" t="s">
        <v>27</v>
      </c>
      <c r="C5" s="4" t="s">
        <v>28</v>
      </c>
      <c r="D5" s="4" t="s">
        <v>29</v>
      </c>
      <c r="E5" s="4" t="s">
        <v>30</v>
      </c>
      <c r="F5" s="4" t="s">
        <v>31</v>
      </c>
      <c r="G5" s="4" t="s">
        <v>32</v>
      </c>
      <c r="H5" s="4" t="s">
        <v>33</v>
      </c>
      <c r="I5" s="4" t="s">
        <v>34</v>
      </c>
      <c r="J5" s="4" t="s">
        <v>35</v>
      </c>
      <c r="K5" s="4" t="s">
        <v>36</v>
      </c>
    </row>
    <row r="6">
      <c r="A6" s="17"/>
      <c r="B6" s="18"/>
      <c r="C6" s="18"/>
      <c r="D6" s="18"/>
      <c r="E6" s="18"/>
      <c r="F6" s="10" t="str">
        <f t="shared" ref="F6:F105" si="1">SUM(B6:E6)</f>
        <v>-</v>
      </c>
      <c r="G6" s="19"/>
      <c r="H6" s="10" t="str">
        <f t="shared" ref="H6:H105" si="2">IFERROR(F6/(1-G6),0)</f>
        <v>-</v>
      </c>
      <c r="I6" s="18"/>
      <c r="J6" s="10" t="str">
        <f t="shared" ref="J6:J105" si="3">IF(I6="",0,I6-F6)</f>
        <v>-</v>
      </c>
      <c r="K6" s="20" t="str">
        <f t="shared" ref="K6:K105" si="4">IFERROR(J6/I6,0)</f>
        <v>-</v>
      </c>
    </row>
    <row r="7">
      <c r="A7" s="17"/>
      <c r="B7" s="18"/>
      <c r="C7" s="18"/>
      <c r="D7" s="18"/>
      <c r="E7" s="18"/>
      <c r="F7" s="10" t="str">
        <f t="shared" si="1"/>
        <v>-</v>
      </c>
      <c r="G7" s="19"/>
      <c r="H7" s="10" t="str">
        <f t="shared" si="2"/>
        <v>-</v>
      </c>
      <c r="I7" s="18"/>
      <c r="J7" s="10" t="str">
        <f t="shared" si="3"/>
        <v>-</v>
      </c>
      <c r="K7" s="20" t="str">
        <f t="shared" si="4"/>
        <v>-</v>
      </c>
    </row>
    <row r="8">
      <c r="A8" s="17"/>
      <c r="B8" s="18"/>
      <c r="C8" s="18"/>
      <c r="D8" s="18"/>
      <c r="E8" s="18"/>
      <c r="F8" s="10" t="str">
        <f t="shared" si="1"/>
        <v>-</v>
      </c>
      <c r="G8" s="19"/>
      <c r="H8" s="10" t="str">
        <f t="shared" si="2"/>
        <v>-</v>
      </c>
      <c r="I8" s="18"/>
      <c r="J8" s="10" t="str">
        <f t="shared" si="3"/>
        <v>-</v>
      </c>
      <c r="K8" s="20" t="str">
        <f t="shared" si="4"/>
        <v>-</v>
      </c>
    </row>
    <row r="9">
      <c r="A9" s="17"/>
      <c r="B9" s="18"/>
      <c r="C9" s="18"/>
      <c r="D9" s="18"/>
      <c r="E9" s="18"/>
      <c r="F9" s="10" t="str">
        <f t="shared" si="1"/>
        <v>-</v>
      </c>
      <c r="G9" s="19"/>
      <c r="H9" s="10" t="str">
        <f t="shared" si="2"/>
        <v>-</v>
      </c>
      <c r="I9" s="18"/>
      <c r="J9" s="10" t="str">
        <f t="shared" si="3"/>
        <v>-</v>
      </c>
      <c r="K9" s="20" t="str">
        <f t="shared" si="4"/>
        <v>-</v>
      </c>
    </row>
    <row r="10">
      <c r="A10" s="17"/>
      <c r="B10" s="18"/>
      <c r="C10" s="18"/>
      <c r="D10" s="18"/>
      <c r="E10" s="18"/>
      <c r="F10" s="10" t="str">
        <f t="shared" si="1"/>
        <v>-</v>
      </c>
      <c r="G10" s="19"/>
      <c r="H10" s="10" t="str">
        <f t="shared" si="2"/>
        <v>-</v>
      </c>
      <c r="I10" s="18"/>
      <c r="J10" s="10" t="str">
        <f t="shared" si="3"/>
        <v>-</v>
      </c>
      <c r="K10" s="20" t="str">
        <f t="shared" si="4"/>
        <v>-</v>
      </c>
    </row>
    <row r="11">
      <c r="A11" s="17"/>
      <c r="B11" s="18"/>
      <c r="C11" s="18"/>
      <c r="D11" s="18"/>
      <c r="E11" s="18"/>
      <c r="F11" s="10" t="str">
        <f t="shared" si="1"/>
        <v>-</v>
      </c>
      <c r="G11" s="19"/>
      <c r="H11" s="10" t="str">
        <f t="shared" si="2"/>
        <v>-</v>
      </c>
      <c r="I11" s="18"/>
      <c r="J11" s="10" t="str">
        <f t="shared" si="3"/>
        <v>-</v>
      </c>
      <c r="K11" s="20" t="str">
        <f t="shared" si="4"/>
        <v>-</v>
      </c>
    </row>
    <row r="12">
      <c r="A12" s="17"/>
      <c r="B12" s="18"/>
      <c r="C12" s="18"/>
      <c r="D12" s="18"/>
      <c r="E12" s="18"/>
      <c r="F12" s="10" t="str">
        <f t="shared" si="1"/>
        <v>-</v>
      </c>
      <c r="G12" s="19"/>
      <c r="H12" s="10" t="str">
        <f t="shared" si="2"/>
        <v>-</v>
      </c>
      <c r="I12" s="18"/>
      <c r="J12" s="10" t="str">
        <f t="shared" si="3"/>
        <v>-</v>
      </c>
      <c r="K12" s="20" t="str">
        <f t="shared" si="4"/>
        <v>-</v>
      </c>
    </row>
    <row r="13">
      <c r="A13" s="17"/>
      <c r="B13" s="18"/>
      <c r="C13" s="18"/>
      <c r="D13" s="18"/>
      <c r="E13" s="18"/>
      <c r="F13" s="10" t="str">
        <f t="shared" si="1"/>
        <v>-</v>
      </c>
      <c r="G13" s="19"/>
      <c r="H13" s="10" t="str">
        <f t="shared" si="2"/>
        <v>-</v>
      </c>
      <c r="I13" s="18"/>
      <c r="J13" s="10" t="str">
        <f t="shared" si="3"/>
        <v>-</v>
      </c>
      <c r="K13" s="20" t="str">
        <f t="shared" si="4"/>
        <v>-</v>
      </c>
    </row>
    <row r="14">
      <c r="A14" s="17"/>
      <c r="B14" s="18"/>
      <c r="C14" s="18"/>
      <c r="D14" s="18"/>
      <c r="E14" s="18"/>
      <c r="F14" s="10" t="str">
        <f t="shared" si="1"/>
        <v>-</v>
      </c>
      <c r="G14" s="19"/>
      <c r="H14" s="10" t="str">
        <f t="shared" si="2"/>
        <v>-</v>
      </c>
      <c r="I14" s="18"/>
      <c r="J14" s="10" t="str">
        <f t="shared" si="3"/>
        <v>-</v>
      </c>
      <c r="K14" s="20" t="str">
        <f t="shared" si="4"/>
        <v>-</v>
      </c>
    </row>
    <row r="15">
      <c r="A15" s="17"/>
      <c r="B15" s="18"/>
      <c r="C15" s="18"/>
      <c r="D15" s="18"/>
      <c r="E15" s="18"/>
      <c r="F15" s="10" t="str">
        <f t="shared" si="1"/>
        <v>-</v>
      </c>
      <c r="G15" s="19"/>
      <c r="H15" s="10" t="str">
        <f t="shared" si="2"/>
        <v>-</v>
      </c>
      <c r="I15" s="18"/>
      <c r="J15" s="10" t="str">
        <f t="shared" si="3"/>
        <v>-</v>
      </c>
      <c r="K15" s="20" t="str">
        <f t="shared" si="4"/>
        <v>-</v>
      </c>
    </row>
    <row r="16">
      <c r="A16" s="17"/>
      <c r="B16" s="18"/>
      <c r="C16" s="18"/>
      <c r="D16" s="18"/>
      <c r="E16" s="18"/>
      <c r="F16" s="10" t="str">
        <f t="shared" si="1"/>
        <v>-</v>
      </c>
      <c r="G16" s="19"/>
      <c r="H16" s="10" t="str">
        <f t="shared" si="2"/>
        <v>-</v>
      </c>
      <c r="I16" s="18"/>
      <c r="J16" s="10" t="str">
        <f t="shared" si="3"/>
        <v>-</v>
      </c>
      <c r="K16" s="20" t="str">
        <f t="shared" si="4"/>
        <v>-</v>
      </c>
    </row>
    <row r="17">
      <c r="A17" s="17"/>
      <c r="B17" s="18"/>
      <c r="C17" s="18"/>
      <c r="D17" s="18"/>
      <c r="E17" s="18"/>
      <c r="F17" s="10" t="str">
        <f t="shared" si="1"/>
        <v>-</v>
      </c>
      <c r="G17" s="19"/>
      <c r="H17" s="10" t="str">
        <f t="shared" si="2"/>
        <v>-</v>
      </c>
      <c r="I17" s="18"/>
      <c r="J17" s="10" t="str">
        <f t="shared" si="3"/>
        <v>-</v>
      </c>
      <c r="K17" s="20" t="str">
        <f t="shared" si="4"/>
        <v>-</v>
      </c>
    </row>
    <row r="18">
      <c r="A18" s="17"/>
      <c r="B18" s="18"/>
      <c r="C18" s="18"/>
      <c r="D18" s="18"/>
      <c r="E18" s="18"/>
      <c r="F18" s="10" t="str">
        <f t="shared" si="1"/>
        <v>-</v>
      </c>
      <c r="G18" s="19"/>
      <c r="H18" s="10" t="str">
        <f t="shared" si="2"/>
        <v>-</v>
      </c>
      <c r="I18" s="18"/>
      <c r="J18" s="10" t="str">
        <f t="shared" si="3"/>
        <v>-</v>
      </c>
      <c r="K18" s="20" t="str">
        <f t="shared" si="4"/>
        <v>-</v>
      </c>
    </row>
    <row r="19">
      <c r="A19" s="17"/>
      <c r="B19" s="18"/>
      <c r="C19" s="18"/>
      <c r="D19" s="18"/>
      <c r="E19" s="18"/>
      <c r="F19" s="10" t="str">
        <f t="shared" si="1"/>
        <v>-</v>
      </c>
      <c r="G19" s="19"/>
      <c r="H19" s="10" t="str">
        <f t="shared" si="2"/>
        <v>-</v>
      </c>
      <c r="I19" s="18"/>
      <c r="J19" s="10" t="str">
        <f t="shared" si="3"/>
        <v>-</v>
      </c>
      <c r="K19" s="20" t="str">
        <f t="shared" si="4"/>
        <v>-</v>
      </c>
    </row>
    <row r="20">
      <c r="A20" s="17"/>
      <c r="B20" s="18"/>
      <c r="C20" s="18"/>
      <c r="D20" s="18"/>
      <c r="E20" s="18"/>
      <c r="F20" s="10" t="str">
        <f t="shared" si="1"/>
        <v>-</v>
      </c>
      <c r="G20" s="19"/>
      <c r="H20" s="10" t="str">
        <f t="shared" si="2"/>
        <v>-</v>
      </c>
      <c r="I20" s="18"/>
      <c r="J20" s="10" t="str">
        <f t="shared" si="3"/>
        <v>-</v>
      </c>
      <c r="K20" s="20" t="str">
        <f t="shared" si="4"/>
        <v>-</v>
      </c>
    </row>
    <row r="21" ht="15.75" customHeight="1">
      <c r="A21" s="17"/>
      <c r="B21" s="18"/>
      <c r="C21" s="18"/>
      <c r="D21" s="18"/>
      <c r="E21" s="18"/>
      <c r="F21" s="10" t="str">
        <f t="shared" si="1"/>
        <v>-</v>
      </c>
      <c r="G21" s="19"/>
      <c r="H21" s="10" t="str">
        <f t="shared" si="2"/>
        <v>-</v>
      </c>
      <c r="I21" s="18"/>
      <c r="J21" s="10" t="str">
        <f t="shared" si="3"/>
        <v>-</v>
      </c>
      <c r="K21" s="20" t="str">
        <f t="shared" si="4"/>
        <v>-</v>
      </c>
    </row>
    <row r="22" ht="15.75" customHeight="1">
      <c r="A22" s="17"/>
      <c r="B22" s="18"/>
      <c r="C22" s="18"/>
      <c r="D22" s="18"/>
      <c r="E22" s="18"/>
      <c r="F22" s="10" t="str">
        <f t="shared" si="1"/>
        <v>-</v>
      </c>
      <c r="G22" s="19"/>
      <c r="H22" s="10" t="str">
        <f t="shared" si="2"/>
        <v>-</v>
      </c>
      <c r="I22" s="18"/>
      <c r="J22" s="10" t="str">
        <f t="shared" si="3"/>
        <v>-</v>
      </c>
      <c r="K22" s="20" t="str">
        <f t="shared" si="4"/>
        <v>-</v>
      </c>
    </row>
    <row r="23" ht="15.75" customHeight="1">
      <c r="A23" s="17"/>
      <c r="B23" s="18"/>
      <c r="C23" s="18"/>
      <c r="D23" s="18"/>
      <c r="E23" s="18"/>
      <c r="F23" s="10" t="str">
        <f t="shared" si="1"/>
        <v>-</v>
      </c>
      <c r="G23" s="19"/>
      <c r="H23" s="10" t="str">
        <f t="shared" si="2"/>
        <v>-</v>
      </c>
      <c r="I23" s="18"/>
      <c r="J23" s="10" t="str">
        <f t="shared" si="3"/>
        <v>-</v>
      </c>
      <c r="K23" s="20" t="str">
        <f t="shared" si="4"/>
        <v>-</v>
      </c>
    </row>
    <row r="24" ht="15.75" customHeight="1">
      <c r="A24" s="17"/>
      <c r="B24" s="18"/>
      <c r="C24" s="18"/>
      <c r="D24" s="18"/>
      <c r="E24" s="18"/>
      <c r="F24" s="10" t="str">
        <f t="shared" si="1"/>
        <v>-</v>
      </c>
      <c r="G24" s="19"/>
      <c r="H24" s="10" t="str">
        <f t="shared" si="2"/>
        <v>-</v>
      </c>
      <c r="I24" s="18"/>
      <c r="J24" s="10" t="str">
        <f t="shared" si="3"/>
        <v>-</v>
      </c>
      <c r="K24" s="20" t="str">
        <f t="shared" si="4"/>
        <v>-</v>
      </c>
    </row>
    <row r="25" ht="15.75" customHeight="1">
      <c r="A25" s="17"/>
      <c r="B25" s="18"/>
      <c r="C25" s="18"/>
      <c r="D25" s="18"/>
      <c r="E25" s="18"/>
      <c r="F25" s="10" t="str">
        <f t="shared" si="1"/>
        <v>-</v>
      </c>
      <c r="G25" s="19"/>
      <c r="H25" s="10" t="str">
        <f t="shared" si="2"/>
        <v>-</v>
      </c>
      <c r="I25" s="18"/>
      <c r="J25" s="10" t="str">
        <f t="shared" si="3"/>
        <v>-</v>
      </c>
      <c r="K25" s="20" t="str">
        <f t="shared" si="4"/>
        <v>-</v>
      </c>
    </row>
    <row r="26" ht="15.75" customHeight="1">
      <c r="A26" s="17"/>
      <c r="B26" s="18"/>
      <c r="C26" s="18"/>
      <c r="D26" s="18"/>
      <c r="E26" s="18"/>
      <c r="F26" s="10" t="str">
        <f t="shared" si="1"/>
        <v>-</v>
      </c>
      <c r="G26" s="19"/>
      <c r="H26" s="10" t="str">
        <f t="shared" si="2"/>
        <v>-</v>
      </c>
      <c r="I26" s="18"/>
      <c r="J26" s="10" t="str">
        <f t="shared" si="3"/>
        <v>-</v>
      </c>
      <c r="K26" s="20" t="str">
        <f t="shared" si="4"/>
        <v>-</v>
      </c>
    </row>
    <row r="27" ht="15.75" customHeight="1">
      <c r="A27" s="17"/>
      <c r="B27" s="18"/>
      <c r="C27" s="18"/>
      <c r="D27" s="18"/>
      <c r="E27" s="18"/>
      <c r="F27" s="10" t="str">
        <f t="shared" si="1"/>
        <v>-</v>
      </c>
      <c r="G27" s="19"/>
      <c r="H27" s="10" t="str">
        <f t="shared" si="2"/>
        <v>-</v>
      </c>
      <c r="I27" s="18"/>
      <c r="J27" s="10" t="str">
        <f t="shared" si="3"/>
        <v>-</v>
      </c>
      <c r="K27" s="20" t="str">
        <f t="shared" si="4"/>
        <v>-</v>
      </c>
    </row>
    <row r="28" ht="15.75" customHeight="1">
      <c r="A28" s="17"/>
      <c r="B28" s="18"/>
      <c r="C28" s="18"/>
      <c r="D28" s="18"/>
      <c r="E28" s="18"/>
      <c r="F28" s="10" t="str">
        <f t="shared" si="1"/>
        <v>-</v>
      </c>
      <c r="G28" s="19"/>
      <c r="H28" s="10" t="str">
        <f t="shared" si="2"/>
        <v>-</v>
      </c>
      <c r="I28" s="18"/>
      <c r="J28" s="10" t="str">
        <f t="shared" si="3"/>
        <v>-</v>
      </c>
      <c r="K28" s="20" t="str">
        <f t="shared" si="4"/>
        <v>-</v>
      </c>
    </row>
    <row r="29" ht="15.75" customHeight="1">
      <c r="A29" s="17"/>
      <c r="B29" s="18"/>
      <c r="C29" s="18"/>
      <c r="D29" s="18"/>
      <c r="E29" s="18"/>
      <c r="F29" s="10" t="str">
        <f t="shared" si="1"/>
        <v>-</v>
      </c>
      <c r="G29" s="19"/>
      <c r="H29" s="10" t="str">
        <f t="shared" si="2"/>
        <v>-</v>
      </c>
      <c r="I29" s="18"/>
      <c r="J29" s="10" t="str">
        <f t="shared" si="3"/>
        <v>-</v>
      </c>
      <c r="K29" s="20" t="str">
        <f t="shared" si="4"/>
        <v>-</v>
      </c>
    </row>
    <row r="30" ht="15.75" customHeight="1">
      <c r="A30" s="17"/>
      <c r="B30" s="18"/>
      <c r="C30" s="18"/>
      <c r="D30" s="18"/>
      <c r="E30" s="18"/>
      <c r="F30" s="10" t="str">
        <f t="shared" si="1"/>
        <v>-</v>
      </c>
      <c r="G30" s="19"/>
      <c r="H30" s="10" t="str">
        <f t="shared" si="2"/>
        <v>-</v>
      </c>
      <c r="I30" s="18"/>
      <c r="J30" s="10" t="str">
        <f t="shared" si="3"/>
        <v>-</v>
      </c>
      <c r="K30" s="20" t="str">
        <f t="shared" si="4"/>
        <v>-</v>
      </c>
    </row>
    <row r="31" ht="15.75" customHeight="1">
      <c r="A31" s="17"/>
      <c r="B31" s="18"/>
      <c r="C31" s="18"/>
      <c r="D31" s="18"/>
      <c r="E31" s="18"/>
      <c r="F31" s="10" t="str">
        <f t="shared" si="1"/>
        <v>-</v>
      </c>
      <c r="G31" s="19"/>
      <c r="H31" s="10" t="str">
        <f t="shared" si="2"/>
        <v>-</v>
      </c>
      <c r="I31" s="18"/>
      <c r="J31" s="10" t="str">
        <f t="shared" si="3"/>
        <v>-</v>
      </c>
      <c r="K31" s="20" t="str">
        <f t="shared" si="4"/>
        <v>-</v>
      </c>
    </row>
    <row r="32" ht="15.75" customHeight="1">
      <c r="A32" s="17"/>
      <c r="B32" s="18"/>
      <c r="C32" s="18"/>
      <c r="D32" s="18"/>
      <c r="E32" s="18"/>
      <c r="F32" s="10" t="str">
        <f t="shared" si="1"/>
        <v>-</v>
      </c>
      <c r="G32" s="19"/>
      <c r="H32" s="10" t="str">
        <f t="shared" si="2"/>
        <v>-</v>
      </c>
      <c r="I32" s="18"/>
      <c r="J32" s="10" t="str">
        <f t="shared" si="3"/>
        <v>-</v>
      </c>
      <c r="K32" s="20" t="str">
        <f t="shared" si="4"/>
        <v>-</v>
      </c>
    </row>
    <row r="33" ht="15.75" customHeight="1">
      <c r="A33" s="17"/>
      <c r="B33" s="18"/>
      <c r="C33" s="18"/>
      <c r="D33" s="18"/>
      <c r="E33" s="18"/>
      <c r="F33" s="10" t="str">
        <f t="shared" si="1"/>
        <v>-</v>
      </c>
      <c r="G33" s="19"/>
      <c r="H33" s="10" t="str">
        <f t="shared" si="2"/>
        <v>-</v>
      </c>
      <c r="I33" s="18"/>
      <c r="J33" s="10" t="str">
        <f t="shared" si="3"/>
        <v>-</v>
      </c>
      <c r="K33" s="20" t="str">
        <f t="shared" si="4"/>
        <v>-</v>
      </c>
    </row>
    <row r="34" ht="15.75" customHeight="1">
      <c r="A34" s="17"/>
      <c r="B34" s="18"/>
      <c r="C34" s="18"/>
      <c r="D34" s="18"/>
      <c r="E34" s="18"/>
      <c r="F34" s="10" t="str">
        <f t="shared" si="1"/>
        <v>-</v>
      </c>
      <c r="G34" s="19"/>
      <c r="H34" s="10" t="str">
        <f t="shared" si="2"/>
        <v>-</v>
      </c>
      <c r="I34" s="18"/>
      <c r="J34" s="10" t="str">
        <f t="shared" si="3"/>
        <v>-</v>
      </c>
      <c r="K34" s="20" t="str">
        <f t="shared" si="4"/>
        <v>-</v>
      </c>
    </row>
    <row r="35" ht="15.75" customHeight="1">
      <c r="A35" s="17"/>
      <c r="B35" s="18"/>
      <c r="C35" s="18"/>
      <c r="D35" s="18"/>
      <c r="E35" s="18"/>
      <c r="F35" s="10" t="str">
        <f t="shared" si="1"/>
        <v>-</v>
      </c>
      <c r="G35" s="19"/>
      <c r="H35" s="10" t="str">
        <f t="shared" si="2"/>
        <v>-</v>
      </c>
      <c r="I35" s="18"/>
      <c r="J35" s="10" t="str">
        <f t="shared" si="3"/>
        <v>-</v>
      </c>
      <c r="K35" s="20" t="str">
        <f t="shared" si="4"/>
        <v>-</v>
      </c>
    </row>
    <row r="36" ht="15.75" customHeight="1">
      <c r="A36" s="17"/>
      <c r="B36" s="18"/>
      <c r="C36" s="18"/>
      <c r="D36" s="18"/>
      <c r="E36" s="18"/>
      <c r="F36" s="10" t="str">
        <f t="shared" si="1"/>
        <v>-</v>
      </c>
      <c r="G36" s="19"/>
      <c r="H36" s="10" t="str">
        <f t="shared" si="2"/>
        <v>-</v>
      </c>
      <c r="I36" s="18"/>
      <c r="J36" s="10" t="str">
        <f t="shared" si="3"/>
        <v>-</v>
      </c>
      <c r="K36" s="20" t="str">
        <f t="shared" si="4"/>
        <v>-</v>
      </c>
    </row>
    <row r="37" ht="15.75" customHeight="1">
      <c r="A37" s="17"/>
      <c r="B37" s="18"/>
      <c r="C37" s="18"/>
      <c r="D37" s="18"/>
      <c r="E37" s="18"/>
      <c r="F37" s="10" t="str">
        <f t="shared" si="1"/>
        <v>-</v>
      </c>
      <c r="G37" s="19"/>
      <c r="H37" s="10" t="str">
        <f t="shared" si="2"/>
        <v>-</v>
      </c>
      <c r="I37" s="18"/>
      <c r="J37" s="10" t="str">
        <f t="shared" si="3"/>
        <v>-</v>
      </c>
      <c r="K37" s="20" t="str">
        <f t="shared" si="4"/>
        <v>-</v>
      </c>
    </row>
    <row r="38" ht="15.75" customHeight="1">
      <c r="A38" s="17"/>
      <c r="B38" s="18"/>
      <c r="C38" s="18"/>
      <c r="D38" s="18"/>
      <c r="E38" s="18"/>
      <c r="F38" s="10" t="str">
        <f t="shared" si="1"/>
        <v>-</v>
      </c>
      <c r="G38" s="19"/>
      <c r="H38" s="10" t="str">
        <f t="shared" si="2"/>
        <v>-</v>
      </c>
      <c r="I38" s="18"/>
      <c r="J38" s="10" t="str">
        <f t="shared" si="3"/>
        <v>-</v>
      </c>
      <c r="K38" s="20" t="str">
        <f t="shared" si="4"/>
        <v>-</v>
      </c>
    </row>
    <row r="39" ht="15.75" customHeight="1">
      <c r="A39" s="17"/>
      <c r="B39" s="18"/>
      <c r="C39" s="18"/>
      <c r="D39" s="18"/>
      <c r="E39" s="18"/>
      <c r="F39" s="10" t="str">
        <f t="shared" si="1"/>
        <v>-</v>
      </c>
      <c r="G39" s="19"/>
      <c r="H39" s="10" t="str">
        <f t="shared" si="2"/>
        <v>-</v>
      </c>
      <c r="I39" s="18"/>
      <c r="J39" s="10" t="str">
        <f t="shared" si="3"/>
        <v>-</v>
      </c>
      <c r="K39" s="20" t="str">
        <f t="shared" si="4"/>
        <v>-</v>
      </c>
    </row>
    <row r="40" ht="15.75" customHeight="1">
      <c r="A40" s="17"/>
      <c r="B40" s="18"/>
      <c r="C40" s="18"/>
      <c r="D40" s="18"/>
      <c r="E40" s="18"/>
      <c r="F40" s="10" t="str">
        <f t="shared" si="1"/>
        <v>-</v>
      </c>
      <c r="G40" s="19"/>
      <c r="H40" s="10" t="str">
        <f t="shared" si="2"/>
        <v>-</v>
      </c>
      <c r="I40" s="18"/>
      <c r="J40" s="10" t="str">
        <f t="shared" si="3"/>
        <v>-</v>
      </c>
      <c r="K40" s="20" t="str">
        <f t="shared" si="4"/>
        <v>-</v>
      </c>
    </row>
    <row r="41" ht="15.75" customHeight="1">
      <c r="A41" s="17"/>
      <c r="B41" s="18"/>
      <c r="C41" s="18"/>
      <c r="D41" s="18"/>
      <c r="E41" s="18"/>
      <c r="F41" s="10" t="str">
        <f t="shared" si="1"/>
        <v>-</v>
      </c>
      <c r="G41" s="19"/>
      <c r="H41" s="10" t="str">
        <f t="shared" si="2"/>
        <v>-</v>
      </c>
      <c r="I41" s="18"/>
      <c r="J41" s="10" t="str">
        <f t="shared" si="3"/>
        <v>-</v>
      </c>
      <c r="K41" s="20" t="str">
        <f t="shared" si="4"/>
        <v>-</v>
      </c>
    </row>
    <row r="42" ht="15.75" customHeight="1">
      <c r="A42" s="17"/>
      <c r="B42" s="18"/>
      <c r="C42" s="18"/>
      <c r="D42" s="18"/>
      <c r="E42" s="18"/>
      <c r="F42" s="10" t="str">
        <f t="shared" si="1"/>
        <v>-</v>
      </c>
      <c r="G42" s="19"/>
      <c r="H42" s="10" t="str">
        <f t="shared" si="2"/>
        <v>-</v>
      </c>
      <c r="I42" s="18"/>
      <c r="J42" s="10" t="str">
        <f t="shared" si="3"/>
        <v>-</v>
      </c>
      <c r="K42" s="20" t="str">
        <f t="shared" si="4"/>
        <v>-</v>
      </c>
    </row>
    <row r="43" ht="15.75" customHeight="1">
      <c r="A43" s="17"/>
      <c r="B43" s="18"/>
      <c r="C43" s="18"/>
      <c r="D43" s="18"/>
      <c r="E43" s="18"/>
      <c r="F43" s="10" t="str">
        <f t="shared" si="1"/>
        <v>-</v>
      </c>
      <c r="G43" s="19"/>
      <c r="H43" s="10" t="str">
        <f t="shared" si="2"/>
        <v>-</v>
      </c>
      <c r="I43" s="18"/>
      <c r="J43" s="10" t="str">
        <f t="shared" si="3"/>
        <v>-</v>
      </c>
      <c r="K43" s="20" t="str">
        <f t="shared" si="4"/>
        <v>-</v>
      </c>
    </row>
    <row r="44" ht="15.75" customHeight="1">
      <c r="A44" s="17"/>
      <c r="B44" s="18"/>
      <c r="C44" s="18"/>
      <c r="D44" s="18"/>
      <c r="E44" s="18"/>
      <c r="F44" s="10" t="str">
        <f t="shared" si="1"/>
        <v>-</v>
      </c>
      <c r="G44" s="19"/>
      <c r="H44" s="10" t="str">
        <f t="shared" si="2"/>
        <v>-</v>
      </c>
      <c r="I44" s="18"/>
      <c r="J44" s="10" t="str">
        <f t="shared" si="3"/>
        <v>-</v>
      </c>
      <c r="K44" s="20" t="str">
        <f t="shared" si="4"/>
        <v>-</v>
      </c>
    </row>
    <row r="45" ht="15.75" customHeight="1">
      <c r="A45" s="17"/>
      <c r="B45" s="18"/>
      <c r="C45" s="18"/>
      <c r="D45" s="18"/>
      <c r="E45" s="18"/>
      <c r="F45" s="10" t="str">
        <f t="shared" si="1"/>
        <v>-</v>
      </c>
      <c r="G45" s="19"/>
      <c r="H45" s="10" t="str">
        <f t="shared" si="2"/>
        <v>-</v>
      </c>
      <c r="I45" s="18"/>
      <c r="J45" s="10" t="str">
        <f t="shared" si="3"/>
        <v>-</v>
      </c>
      <c r="K45" s="20" t="str">
        <f t="shared" si="4"/>
        <v>-</v>
      </c>
    </row>
    <row r="46" ht="15.75" customHeight="1">
      <c r="A46" s="17"/>
      <c r="B46" s="18"/>
      <c r="C46" s="18"/>
      <c r="D46" s="18"/>
      <c r="E46" s="18"/>
      <c r="F46" s="10" t="str">
        <f t="shared" si="1"/>
        <v>-</v>
      </c>
      <c r="G46" s="19"/>
      <c r="H46" s="10" t="str">
        <f t="shared" si="2"/>
        <v>-</v>
      </c>
      <c r="I46" s="18"/>
      <c r="J46" s="10" t="str">
        <f t="shared" si="3"/>
        <v>-</v>
      </c>
      <c r="K46" s="20" t="str">
        <f t="shared" si="4"/>
        <v>-</v>
      </c>
    </row>
    <row r="47" ht="15.75" customHeight="1">
      <c r="A47" s="17"/>
      <c r="B47" s="18"/>
      <c r="C47" s="18"/>
      <c r="D47" s="18"/>
      <c r="E47" s="18"/>
      <c r="F47" s="10" t="str">
        <f t="shared" si="1"/>
        <v>-</v>
      </c>
      <c r="G47" s="19"/>
      <c r="H47" s="10" t="str">
        <f t="shared" si="2"/>
        <v>-</v>
      </c>
      <c r="I47" s="18"/>
      <c r="J47" s="10" t="str">
        <f t="shared" si="3"/>
        <v>-</v>
      </c>
      <c r="K47" s="20" t="str">
        <f t="shared" si="4"/>
        <v>-</v>
      </c>
    </row>
    <row r="48" ht="15.75" customHeight="1">
      <c r="A48" s="17"/>
      <c r="B48" s="18"/>
      <c r="C48" s="18"/>
      <c r="D48" s="18"/>
      <c r="E48" s="18"/>
      <c r="F48" s="10" t="str">
        <f t="shared" si="1"/>
        <v>-</v>
      </c>
      <c r="G48" s="19"/>
      <c r="H48" s="10" t="str">
        <f t="shared" si="2"/>
        <v>-</v>
      </c>
      <c r="I48" s="18"/>
      <c r="J48" s="10" t="str">
        <f t="shared" si="3"/>
        <v>-</v>
      </c>
      <c r="K48" s="20" t="str">
        <f t="shared" si="4"/>
        <v>-</v>
      </c>
    </row>
    <row r="49" ht="15.75" customHeight="1">
      <c r="A49" s="17"/>
      <c r="B49" s="18"/>
      <c r="C49" s="18"/>
      <c r="D49" s="18"/>
      <c r="E49" s="18"/>
      <c r="F49" s="10" t="str">
        <f t="shared" si="1"/>
        <v>-</v>
      </c>
      <c r="G49" s="19"/>
      <c r="H49" s="10" t="str">
        <f t="shared" si="2"/>
        <v>-</v>
      </c>
      <c r="I49" s="18"/>
      <c r="J49" s="10" t="str">
        <f t="shared" si="3"/>
        <v>-</v>
      </c>
      <c r="K49" s="20" t="str">
        <f t="shared" si="4"/>
        <v>-</v>
      </c>
    </row>
    <row r="50" ht="15.75" customHeight="1">
      <c r="A50" s="17"/>
      <c r="B50" s="18"/>
      <c r="C50" s="18"/>
      <c r="D50" s="18"/>
      <c r="E50" s="18"/>
      <c r="F50" s="10" t="str">
        <f t="shared" si="1"/>
        <v>-</v>
      </c>
      <c r="G50" s="19"/>
      <c r="H50" s="10" t="str">
        <f t="shared" si="2"/>
        <v>-</v>
      </c>
      <c r="I50" s="18"/>
      <c r="J50" s="10" t="str">
        <f t="shared" si="3"/>
        <v>-</v>
      </c>
      <c r="K50" s="20" t="str">
        <f t="shared" si="4"/>
        <v>-</v>
      </c>
    </row>
    <row r="51" ht="15.75" customHeight="1">
      <c r="A51" s="17"/>
      <c r="B51" s="18"/>
      <c r="C51" s="18"/>
      <c r="D51" s="18"/>
      <c r="E51" s="18"/>
      <c r="F51" s="10" t="str">
        <f t="shared" si="1"/>
        <v>-</v>
      </c>
      <c r="G51" s="19"/>
      <c r="H51" s="10" t="str">
        <f t="shared" si="2"/>
        <v>-</v>
      </c>
      <c r="I51" s="18"/>
      <c r="J51" s="10" t="str">
        <f t="shared" si="3"/>
        <v>-</v>
      </c>
      <c r="K51" s="20" t="str">
        <f t="shared" si="4"/>
        <v>-</v>
      </c>
    </row>
    <row r="52" ht="15.75" customHeight="1">
      <c r="A52" s="17"/>
      <c r="B52" s="18"/>
      <c r="C52" s="18"/>
      <c r="D52" s="18"/>
      <c r="E52" s="18"/>
      <c r="F52" s="10" t="str">
        <f t="shared" si="1"/>
        <v>-</v>
      </c>
      <c r="G52" s="19"/>
      <c r="H52" s="10" t="str">
        <f t="shared" si="2"/>
        <v>-</v>
      </c>
      <c r="I52" s="18"/>
      <c r="J52" s="10" t="str">
        <f t="shared" si="3"/>
        <v>-</v>
      </c>
      <c r="K52" s="20" t="str">
        <f t="shared" si="4"/>
        <v>-</v>
      </c>
    </row>
    <row r="53" ht="15.75" customHeight="1">
      <c r="A53" s="17"/>
      <c r="B53" s="18"/>
      <c r="C53" s="18"/>
      <c r="D53" s="18"/>
      <c r="E53" s="18"/>
      <c r="F53" s="10" t="str">
        <f t="shared" si="1"/>
        <v>-</v>
      </c>
      <c r="G53" s="19"/>
      <c r="H53" s="10" t="str">
        <f t="shared" si="2"/>
        <v>-</v>
      </c>
      <c r="I53" s="18"/>
      <c r="J53" s="10" t="str">
        <f t="shared" si="3"/>
        <v>-</v>
      </c>
      <c r="K53" s="20" t="str">
        <f t="shared" si="4"/>
        <v>-</v>
      </c>
    </row>
    <row r="54" ht="15.75" customHeight="1">
      <c r="A54" s="17"/>
      <c r="B54" s="18"/>
      <c r="C54" s="18"/>
      <c r="D54" s="18"/>
      <c r="E54" s="18"/>
      <c r="F54" s="10" t="str">
        <f t="shared" si="1"/>
        <v>-</v>
      </c>
      <c r="G54" s="19"/>
      <c r="H54" s="10" t="str">
        <f t="shared" si="2"/>
        <v>-</v>
      </c>
      <c r="I54" s="18"/>
      <c r="J54" s="10" t="str">
        <f t="shared" si="3"/>
        <v>-</v>
      </c>
      <c r="K54" s="20" t="str">
        <f t="shared" si="4"/>
        <v>-</v>
      </c>
    </row>
    <row r="55" ht="15.75" customHeight="1">
      <c r="A55" s="17"/>
      <c r="B55" s="18"/>
      <c r="C55" s="18"/>
      <c r="D55" s="18"/>
      <c r="E55" s="18"/>
      <c r="F55" s="10" t="str">
        <f t="shared" si="1"/>
        <v>-</v>
      </c>
      <c r="G55" s="19"/>
      <c r="H55" s="10" t="str">
        <f t="shared" si="2"/>
        <v>-</v>
      </c>
      <c r="I55" s="18"/>
      <c r="J55" s="10" t="str">
        <f t="shared" si="3"/>
        <v>-</v>
      </c>
      <c r="K55" s="20" t="str">
        <f t="shared" si="4"/>
        <v>-</v>
      </c>
    </row>
    <row r="56" ht="15.75" customHeight="1">
      <c r="A56" s="17"/>
      <c r="B56" s="18"/>
      <c r="C56" s="18"/>
      <c r="D56" s="18"/>
      <c r="E56" s="18"/>
      <c r="F56" s="10" t="str">
        <f t="shared" si="1"/>
        <v>-</v>
      </c>
      <c r="G56" s="19"/>
      <c r="H56" s="10" t="str">
        <f t="shared" si="2"/>
        <v>-</v>
      </c>
      <c r="I56" s="18"/>
      <c r="J56" s="10" t="str">
        <f t="shared" si="3"/>
        <v>-</v>
      </c>
      <c r="K56" s="20" t="str">
        <f t="shared" si="4"/>
        <v>-</v>
      </c>
    </row>
    <row r="57" ht="15.75" customHeight="1">
      <c r="A57" s="17"/>
      <c r="B57" s="18"/>
      <c r="C57" s="18"/>
      <c r="D57" s="18"/>
      <c r="E57" s="18"/>
      <c r="F57" s="10" t="str">
        <f t="shared" si="1"/>
        <v>-</v>
      </c>
      <c r="G57" s="19"/>
      <c r="H57" s="10" t="str">
        <f t="shared" si="2"/>
        <v>-</v>
      </c>
      <c r="I57" s="18"/>
      <c r="J57" s="10" t="str">
        <f t="shared" si="3"/>
        <v>-</v>
      </c>
      <c r="K57" s="20" t="str">
        <f t="shared" si="4"/>
        <v>-</v>
      </c>
    </row>
    <row r="58" ht="15.75" customHeight="1">
      <c r="A58" s="17"/>
      <c r="B58" s="18"/>
      <c r="C58" s="18"/>
      <c r="D58" s="18"/>
      <c r="E58" s="18"/>
      <c r="F58" s="10" t="str">
        <f t="shared" si="1"/>
        <v>-</v>
      </c>
      <c r="G58" s="19"/>
      <c r="H58" s="10" t="str">
        <f t="shared" si="2"/>
        <v>-</v>
      </c>
      <c r="I58" s="18"/>
      <c r="J58" s="10" t="str">
        <f t="shared" si="3"/>
        <v>-</v>
      </c>
      <c r="K58" s="20" t="str">
        <f t="shared" si="4"/>
        <v>-</v>
      </c>
    </row>
    <row r="59" ht="15.75" customHeight="1">
      <c r="A59" s="17"/>
      <c r="B59" s="18"/>
      <c r="C59" s="18"/>
      <c r="D59" s="18"/>
      <c r="E59" s="18"/>
      <c r="F59" s="10" t="str">
        <f t="shared" si="1"/>
        <v>-</v>
      </c>
      <c r="G59" s="19"/>
      <c r="H59" s="10" t="str">
        <f t="shared" si="2"/>
        <v>-</v>
      </c>
      <c r="I59" s="18"/>
      <c r="J59" s="10" t="str">
        <f t="shared" si="3"/>
        <v>-</v>
      </c>
      <c r="K59" s="20" t="str">
        <f t="shared" si="4"/>
        <v>-</v>
      </c>
    </row>
    <row r="60" ht="15.75" customHeight="1">
      <c r="A60" s="17"/>
      <c r="B60" s="18"/>
      <c r="C60" s="18"/>
      <c r="D60" s="18"/>
      <c r="E60" s="18"/>
      <c r="F60" s="10" t="str">
        <f t="shared" si="1"/>
        <v>-</v>
      </c>
      <c r="G60" s="19"/>
      <c r="H60" s="10" t="str">
        <f t="shared" si="2"/>
        <v>-</v>
      </c>
      <c r="I60" s="18"/>
      <c r="J60" s="10" t="str">
        <f t="shared" si="3"/>
        <v>-</v>
      </c>
      <c r="K60" s="20" t="str">
        <f t="shared" si="4"/>
        <v>-</v>
      </c>
    </row>
    <row r="61" ht="15.75" customHeight="1">
      <c r="A61" s="17"/>
      <c r="B61" s="18"/>
      <c r="C61" s="18"/>
      <c r="D61" s="18"/>
      <c r="E61" s="18"/>
      <c r="F61" s="10" t="str">
        <f t="shared" si="1"/>
        <v>-</v>
      </c>
      <c r="G61" s="19"/>
      <c r="H61" s="10" t="str">
        <f t="shared" si="2"/>
        <v>-</v>
      </c>
      <c r="I61" s="18"/>
      <c r="J61" s="10" t="str">
        <f t="shared" si="3"/>
        <v>-</v>
      </c>
      <c r="K61" s="20" t="str">
        <f t="shared" si="4"/>
        <v>-</v>
      </c>
    </row>
    <row r="62" ht="15.75" customHeight="1">
      <c r="A62" s="17"/>
      <c r="B62" s="18"/>
      <c r="C62" s="18"/>
      <c r="D62" s="18"/>
      <c r="E62" s="18"/>
      <c r="F62" s="10" t="str">
        <f t="shared" si="1"/>
        <v>-</v>
      </c>
      <c r="G62" s="19"/>
      <c r="H62" s="10" t="str">
        <f t="shared" si="2"/>
        <v>-</v>
      </c>
      <c r="I62" s="18"/>
      <c r="J62" s="10" t="str">
        <f t="shared" si="3"/>
        <v>-</v>
      </c>
      <c r="K62" s="20" t="str">
        <f t="shared" si="4"/>
        <v>-</v>
      </c>
    </row>
    <row r="63" ht="15.75" customHeight="1">
      <c r="A63" s="17"/>
      <c r="B63" s="18"/>
      <c r="C63" s="18"/>
      <c r="D63" s="18"/>
      <c r="E63" s="18"/>
      <c r="F63" s="10" t="str">
        <f t="shared" si="1"/>
        <v>-</v>
      </c>
      <c r="G63" s="19"/>
      <c r="H63" s="10" t="str">
        <f t="shared" si="2"/>
        <v>-</v>
      </c>
      <c r="I63" s="18"/>
      <c r="J63" s="10" t="str">
        <f t="shared" si="3"/>
        <v>-</v>
      </c>
      <c r="K63" s="20" t="str">
        <f t="shared" si="4"/>
        <v>-</v>
      </c>
    </row>
    <row r="64" ht="15.75" customHeight="1">
      <c r="A64" s="17"/>
      <c r="B64" s="18"/>
      <c r="C64" s="18"/>
      <c r="D64" s="18"/>
      <c r="E64" s="18"/>
      <c r="F64" s="10" t="str">
        <f t="shared" si="1"/>
        <v>-</v>
      </c>
      <c r="G64" s="19"/>
      <c r="H64" s="10" t="str">
        <f t="shared" si="2"/>
        <v>-</v>
      </c>
      <c r="I64" s="18"/>
      <c r="J64" s="10" t="str">
        <f t="shared" si="3"/>
        <v>-</v>
      </c>
      <c r="K64" s="20" t="str">
        <f t="shared" si="4"/>
        <v>-</v>
      </c>
    </row>
    <row r="65" ht="15.75" customHeight="1">
      <c r="A65" s="17"/>
      <c r="B65" s="18"/>
      <c r="C65" s="18"/>
      <c r="D65" s="18"/>
      <c r="E65" s="18"/>
      <c r="F65" s="10" t="str">
        <f t="shared" si="1"/>
        <v>-</v>
      </c>
      <c r="G65" s="19"/>
      <c r="H65" s="10" t="str">
        <f t="shared" si="2"/>
        <v>-</v>
      </c>
      <c r="I65" s="18"/>
      <c r="J65" s="10" t="str">
        <f t="shared" si="3"/>
        <v>-</v>
      </c>
      <c r="K65" s="20" t="str">
        <f t="shared" si="4"/>
        <v>-</v>
      </c>
    </row>
    <row r="66" ht="15.75" customHeight="1">
      <c r="A66" s="17"/>
      <c r="B66" s="18"/>
      <c r="C66" s="18"/>
      <c r="D66" s="18"/>
      <c r="E66" s="18"/>
      <c r="F66" s="10" t="str">
        <f t="shared" si="1"/>
        <v>-</v>
      </c>
      <c r="G66" s="19"/>
      <c r="H66" s="10" t="str">
        <f t="shared" si="2"/>
        <v>-</v>
      </c>
      <c r="I66" s="18"/>
      <c r="J66" s="10" t="str">
        <f t="shared" si="3"/>
        <v>-</v>
      </c>
      <c r="K66" s="20" t="str">
        <f t="shared" si="4"/>
        <v>-</v>
      </c>
    </row>
    <row r="67" ht="15.75" customHeight="1">
      <c r="A67" s="17"/>
      <c r="B67" s="18"/>
      <c r="C67" s="18"/>
      <c r="D67" s="18"/>
      <c r="E67" s="18"/>
      <c r="F67" s="10" t="str">
        <f t="shared" si="1"/>
        <v>-</v>
      </c>
      <c r="G67" s="19"/>
      <c r="H67" s="10" t="str">
        <f t="shared" si="2"/>
        <v>-</v>
      </c>
      <c r="I67" s="18"/>
      <c r="J67" s="10" t="str">
        <f t="shared" si="3"/>
        <v>-</v>
      </c>
      <c r="K67" s="20" t="str">
        <f t="shared" si="4"/>
        <v>-</v>
      </c>
    </row>
    <row r="68" ht="15.75" customHeight="1">
      <c r="A68" s="17"/>
      <c r="B68" s="18"/>
      <c r="C68" s="18"/>
      <c r="D68" s="18"/>
      <c r="E68" s="18"/>
      <c r="F68" s="10" t="str">
        <f t="shared" si="1"/>
        <v>-</v>
      </c>
      <c r="G68" s="19"/>
      <c r="H68" s="10" t="str">
        <f t="shared" si="2"/>
        <v>-</v>
      </c>
      <c r="I68" s="18"/>
      <c r="J68" s="10" t="str">
        <f t="shared" si="3"/>
        <v>-</v>
      </c>
      <c r="K68" s="20" t="str">
        <f t="shared" si="4"/>
        <v>-</v>
      </c>
    </row>
    <row r="69" ht="15.75" customHeight="1">
      <c r="A69" s="17"/>
      <c r="B69" s="18"/>
      <c r="C69" s="18"/>
      <c r="D69" s="18"/>
      <c r="E69" s="18"/>
      <c r="F69" s="10" t="str">
        <f t="shared" si="1"/>
        <v>-</v>
      </c>
      <c r="G69" s="19"/>
      <c r="H69" s="10" t="str">
        <f t="shared" si="2"/>
        <v>-</v>
      </c>
      <c r="I69" s="18"/>
      <c r="J69" s="10" t="str">
        <f t="shared" si="3"/>
        <v>-</v>
      </c>
      <c r="K69" s="20" t="str">
        <f t="shared" si="4"/>
        <v>-</v>
      </c>
    </row>
    <row r="70" ht="15.75" customHeight="1">
      <c r="A70" s="17"/>
      <c r="B70" s="18"/>
      <c r="C70" s="18"/>
      <c r="D70" s="18"/>
      <c r="E70" s="18"/>
      <c r="F70" s="10" t="str">
        <f t="shared" si="1"/>
        <v>-</v>
      </c>
      <c r="G70" s="19"/>
      <c r="H70" s="10" t="str">
        <f t="shared" si="2"/>
        <v>-</v>
      </c>
      <c r="I70" s="18"/>
      <c r="J70" s="10" t="str">
        <f t="shared" si="3"/>
        <v>-</v>
      </c>
      <c r="K70" s="20" t="str">
        <f t="shared" si="4"/>
        <v>-</v>
      </c>
    </row>
    <row r="71" ht="15.75" customHeight="1">
      <c r="A71" s="17"/>
      <c r="B71" s="18"/>
      <c r="C71" s="18"/>
      <c r="D71" s="18"/>
      <c r="E71" s="18"/>
      <c r="F71" s="10" t="str">
        <f t="shared" si="1"/>
        <v>-</v>
      </c>
      <c r="G71" s="19"/>
      <c r="H71" s="10" t="str">
        <f t="shared" si="2"/>
        <v>-</v>
      </c>
      <c r="I71" s="18"/>
      <c r="J71" s="10" t="str">
        <f t="shared" si="3"/>
        <v>-</v>
      </c>
      <c r="K71" s="20" t="str">
        <f t="shared" si="4"/>
        <v>-</v>
      </c>
    </row>
    <row r="72" ht="15.75" customHeight="1">
      <c r="A72" s="17"/>
      <c r="B72" s="18"/>
      <c r="C72" s="18"/>
      <c r="D72" s="18"/>
      <c r="E72" s="18"/>
      <c r="F72" s="10" t="str">
        <f t="shared" si="1"/>
        <v>-</v>
      </c>
      <c r="G72" s="19"/>
      <c r="H72" s="10" t="str">
        <f t="shared" si="2"/>
        <v>-</v>
      </c>
      <c r="I72" s="18"/>
      <c r="J72" s="10" t="str">
        <f t="shared" si="3"/>
        <v>-</v>
      </c>
      <c r="K72" s="20" t="str">
        <f t="shared" si="4"/>
        <v>-</v>
      </c>
    </row>
    <row r="73" ht="15.75" customHeight="1">
      <c r="A73" s="17"/>
      <c r="B73" s="18"/>
      <c r="C73" s="18"/>
      <c r="D73" s="18"/>
      <c r="E73" s="18"/>
      <c r="F73" s="10" t="str">
        <f t="shared" si="1"/>
        <v>-</v>
      </c>
      <c r="G73" s="19"/>
      <c r="H73" s="10" t="str">
        <f t="shared" si="2"/>
        <v>-</v>
      </c>
      <c r="I73" s="18"/>
      <c r="J73" s="10" t="str">
        <f t="shared" si="3"/>
        <v>-</v>
      </c>
      <c r="K73" s="20" t="str">
        <f t="shared" si="4"/>
        <v>-</v>
      </c>
    </row>
    <row r="74" ht="15.75" customHeight="1">
      <c r="A74" s="17"/>
      <c r="B74" s="18"/>
      <c r="C74" s="18"/>
      <c r="D74" s="18"/>
      <c r="E74" s="18"/>
      <c r="F74" s="10" t="str">
        <f t="shared" si="1"/>
        <v>-</v>
      </c>
      <c r="G74" s="19"/>
      <c r="H74" s="10" t="str">
        <f t="shared" si="2"/>
        <v>-</v>
      </c>
      <c r="I74" s="18"/>
      <c r="J74" s="10" t="str">
        <f t="shared" si="3"/>
        <v>-</v>
      </c>
      <c r="K74" s="20" t="str">
        <f t="shared" si="4"/>
        <v>-</v>
      </c>
    </row>
    <row r="75" ht="15.75" customHeight="1">
      <c r="A75" s="17"/>
      <c r="B75" s="18"/>
      <c r="C75" s="18"/>
      <c r="D75" s="18"/>
      <c r="E75" s="18"/>
      <c r="F75" s="10" t="str">
        <f t="shared" si="1"/>
        <v>-</v>
      </c>
      <c r="G75" s="19"/>
      <c r="H75" s="10" t="str">
        <f t="shared" si="2"/>
        <v>-</v>
      </c>
      <c r="I75" s="18"/>
      <c r="J75" s="10" t="str">
        <f t="shared" si="3"/>
        <v>-</v>
      </c>
      <c r="K75" s="20" t="str">
        <f t="shared" si="4"/>
        <v>-</v>
      </c>
    </row>
    <row r="76" ht="15.75" customHeight="1">
      <c r="A76" s="17"/>
      <c r="B76" s="18"/>
      <c r="C76" s="18"/>
      <c r="D76" s="18"/>
      <c r="E76" s="18"/>
      <c r="F76" s="10" t="str">
        <f t="shared" si="1"/>
        <v>-</v>
      </c>
      <c r="G76" s="19"/>
      <c r="H76" s="10" t="str">
        <f t="shared" si="2"/>
        <v>-</v>
      </c>
      <c r="I76" s="18"/>
      <c r="J76" s="10" t="str">
        <f t="shared" si="3"/>
        <v>-</v>
      </c>
      <c r="K76" s="20" t="str">
        <f t="shared" si="4"/>
        <v>-</v>
      </c>
    </row>
    <row r="77" ht="15.75" customHeight="1">
      <c r="A77" s="17"/>
      <c r="B77" s="18"/>
      <c r="C77" s="18"/>
      <c r="D77" s="18"/>
      <c r="E77" s="18"/>
      <c r="F77" s="10" t="str">
        <f t="shared" si="1"/>
        <v>-</v>
      </c>
      <c r="G77" s="19"/>
      <c r="H77" s="10" t="str">
        <f t="shared" si="2"/>
        <v>-</v>
      </c>
      <c r="I77" s="18"/>
      <c r="J77" s="10" t="str">
        <f t="shared" si="3"/>
        <v>-</v>
      </c>
      <c r="K77" s="20" t="str">
        <f t="shared" si="4"/>
        <v>-</v>
      </c>
    </row>
    <row r="78" ht="15.75" customHeight="1">
      <c r="A78" s="17"/>
      <c r="B78" s="18"/>
      <c r="C78" s="18"/>
      <c r="D78" s="18"/>
      <c r="E78" s="18"/>
      <c r="F78" s="10" t="str">
        <f t="shared" si="1"/>
        <v>-</v>
      </c>
      <c r="G78" s="19"/>
      <c r="H78" s="10" t="str">
        <f t="shared" si="2"/>
        <v>-</v>
      </c>
      <c r="I78" s="18"/>
      <c r="J78" s="10" t="str">
        <f t="shared" si="3"/>
        <v>-</v>
      </c>
      <c r="K78" s="20" t="str">
        <f t="shared" si="4"/>
        <v>-</v>
      </c>
    </row>
    <row r="79" ht="15.75" customHeight="1">
      <c r="A79" s="17"/>
      <c r="B79" s="18"/>
      <c r="C79" s="18"/>
      <c r="D79" s="18"/>
      <c r="E79" s="18"/>
      <c r="F79" s="10" t="str">
        <f t="shared" si="1"/>
        <v>-</v>
      </c>
      <c r="G79" s="19"/>
      <c r="H79" s="10" t="str">
        <f t="shared" si="2"/>
        <v>-</v>
      </c>
      <c r="I79" s="18"/>
      <c r="J79" s="10" t="str">
        <f t="shared" si="3"/>
        <v>-</v>
      </c>
      <c r="K79" s="20" t="str">
        <f t="shared" si="4"/>
        <v>-</v>
      </c>
    </row>
    <row r="80" ht="15.75" customHeight="1">
      <c r="A80" s="17"/>
      <c r="B80" s="18"/>
      <c r="C80" s="18"/>
      <c r="D80" s="18"/>
      <c r="E80" s="18"/>
      <c r="F80" s="10" t="str">
        <f t="shared" si="1"/>
        <v>-</v>
      </c>
      <c r="G80" s="19"/>
      <c r="H80" s="10" t="str">
        <f t="shared" si="2"/>
        <v>-</v>
      </c>
      <c r="I80" s="18"/>
      <c r="J80" s="10" t="str">
        <f t="shared" si="3"/>
        <v>-</v>
      </c>
      <c r="K80" s="20" t="str">
        <f t="shared" si="4"/>
        <v>-</v>
      </c>
    </row>
    <row r="81" ht="15.75" customHeight="1">
      <c r="A81" s="17"/>
      <c r="B81" s="18"/>
      <c r="C81" s="18"/>
      <c r="D81" s="18"/>
      <c r="E81" s="18"/>
      <c r="F81" s="10" t="str">
        <f t="shared" si="1"/>
        <v>-</v>
      </c>
      <c r="G81" s="19"/>
      <c r="H81" s="10" t="str">
        <f t="shared" si="2"/>
        <v>-</v>
      </c>
      <c r="I81" s="18"/>
      <c r="J81" s="10" t="str">
        <f t="shared" si="3"/>
        <v>-</v>
      </c>
      <c r="K81" s="20" t="str">
        <f t="shared" si="4"/>
        <v>-</v>
      </c>
    </row>
    <row r="82" ht="15.75" customHeight="1">
      <c r="A82" s="17"/>
      <c r="B82" s="18"/>
      <c r="C82" s="18"/>
      <c r="D82" s="18"/>
      <c r="E82" s="18"/>
      <c r="F82" s="10" t="str">
        <f t="shared" si="1"/>
        <v>-</v>
      </c>
      <c r="G82" s="19"/>
      <c r="H82" s="10" t="str">
        <f t="shared" si="2"/>
        <v>-</v>
      </c>
      <c r="I82" s="18"/>
      <c r="J82" s="10" t="str">
        <f t="shared" si="3"/>
        <v>-</v>
      </c>
      <c r="K82" s="20" t="str">
        <f t="shared" si="4"/>
        <v>-</v>
      </c>
    </row>
    <row r="83" ht="15.75" customHeight="1">
      <c r="A83" s="17"/>
      <c r="B83" s="18"/>
      <c r="C83" s="18"/>
      <c r="D83" s="18"/>
      <c r="E83" s="18"/>
      <c r="F83" s="10" t="str">
        <f t="shared" si="1"/>
        <v>-</v>
      </c>
      <c r="G83" s="19"/>
      <c r="H83" s="10" t="str">
        <f t="shared" si="2"/>
        <v>-</v>
      </c>
      <c r="I83" s="18"/>
      <c r="J83" s="10" t="str">
        <f t="shared" si="3"/>
        <v>-</v>
      </c>
      <c r="K83" s="20" t="str">
        <f t="shared" si="4"/>
        <v>-</v>
      </c>
    </row>
    <row r="84" ht="15.75" customHeight="1">
      <c r="A84" s="17"/>
      <c r="B84" s="18"/>
      <c r="C84" s="18"/>
      <c r="D84" s="18"/>
      <c r="E84" s="18"/>
      <c r="F84" s="10" t="str">
        <f t="shared" si="1"/>
        <v>-</v>
      </c>
      <c r="G84" s="19"/>
      <c r="H84" s="10" t="str">
        <f t="shared" si="2"/>
        <v>-</v>
      </c>
      <c r="I84" s="18"/>
      <c r="J84" s="10" t="str">
        <f t="shared" si="3"/>
        <v>-</v>
      </c>
      <c r="K84" s="20" t="str">
        <f t="shared" si="4"/>
        <v>-</v>
      </c>
    </row>
    <row r="85" ht="15.75" customHeight="1">
      <c r="A85" s="17"/>
      <c r="B85" s="18"/>
      <c r="C85" s="18"/>
      <c r="D85" s="18"/>
      <c r="E85" s="18"/>
      <c r="F85" s="10" t="str">
        <f t="shared" si="1"/>
        <v>-</v>
      </c>
      <c r="G85" s="19"/>
      <c r="H85" s="10" t="str">
        <f t="shared" si="2"/>
        <v>-</v>
      </c>
      <c r="I85" s="18"/>
      <c r="J85" s="10" t="str">
        <f t="shared" si="3"/>
        <v>-</v>
      </c>
      <c r="K85" s="20" t="str">
        <f t="shared" si="4"/>
        <v>-</v>
      </c>
    </row>
    <row r="86" ht="15.75" customHeight="1">
      <c r="A86" s="17"/>
      <c r="B86" s="18"/>
      <c r="C86" s="18"/>
      <c r="D86" s="18"/>
      <c r="E86" s="18"/>
      <c r="F86" s="10" t="str">
        <f t="shared" si="1"/>
        <v>-</v>
      </c>
      <c r="G86" s="19"/>
      <c r="H86" s="10" t="str">
        <f t="shared" si="2"/>
        <v>-</v>
      </c>
      <c r="I86" s="18"/>
      <c r="J86" s="10" t="str">
        <f t="shared" si="3"/>
        <v>-</v>
      </c>
      <c r="K86" s="20" t="str">
        <f t="shared" si="4"/>
        <v>-</v>
      </c>
    </row>
    <row r="87" ht="15.75" customHeight="1">
      <c r="A87" s="17"/>
      <c r="B87" s="18"/>
      <c r="C87" s="18"/>
      <c r="D87" s="18"/>
      <c r="E87" s="18"/>
      <c r="F87" s="10" t="str">
        <f t="shared" si="1"/>
        <v>-</v>
      </c>
      <c r="G87" s="19"/>
      <c r="H87" s="10" t="str">
        <f t="shared" si="2"/>
        <v>-</v>
      </c>
      <c r="I87" s="18"/>
      <c r="J87" s="10" t="str">
        <f t="shared" si="3"/>
        <v>-</v>
      </c>
      <c r="K87" s="20" t="str">
        <f t="shared" si="4"/>
        <v>-</v>
      </c>
    </row>
    <row r="88" ht="15.75" customHeight="1">
      <c r="A88" s="17"/>
      <c r="B88" s="18"/>
      <c r="C88" s="18"/>
      <c r="D88" s="18"/>
      <c r="E88" s="18"/>
      <c r="F88" s="10" t="str">
        <f t="shared" si="1"/>
        <v>-</v>
      </c>
      <c r="G88" s="19"/>
      <c r="H88" s="10" t="str">
        <f t="shared" si="2"/>
        <v>-</v>
      </c>
      <c r="I88" s="18"/>
      <c r="J88" s="10" t="str">
        <f t="shared" si="3"/>
        <v>-</v>
      </c>
      <c r="K88" s="20" t="str">
        <f t="shared" si="4"/>
        <v>-</v>
      </c>
    </row>
    <row r="89" ht="15.75" customHeight="1">
      <c r="A89" s="17"/>
      <c r="B89" s="18"/>
      <c r="C89" s="18"/>
      <c r="D89" s="18"/>
      <c r="E89" s="18"/>
      <c r="F89" s="10" t="str">
        <f t="shared" si="1"/>
        <v>-</v>
      </c>
      <c r="G89" s="19"/>
      <c r="H89" s="10" t="str">
        <f t="shared" si="2"/>
        <v>-</v>
      </c>
      <c r="I89" s="18"/>
      <c r="J89" s="10" t="str">
        <f t="shared" si="3"/>
        <v>-</v>
      </c>
      <c r="K89" s="20" t="str">
        <f t="shared" si="4"/>
        <v>-</v>
      </c>
    </row>
    <row r="90" ht="15.75" customHeight="1">
      <c r="A90" s="17"/>
      <c r="B90" s="18"/>
      <c r="C90" s="18"/>
      <c r="D90" s="18"/>
      <c r="E90" s="18"/>
      <c r="F90" s="10" t="str">
        <f t="shared" si="1"/>
        <v>-</v>
      </c>
      <c r="G90" s="19"/>
      <c r="H90" s="10" t="str">
        <f t="shared" si="2"/>
        <v>-</v>
      </c>
      <c r="I90" s="18"/>
      <c r="J90" s="10" t="str">
        <f t="shared" si="3"/>
        <v>-</v>
      </c>
      <c r="K90" s="20" t="str">
        <f t="shared" si="4"/>
        <v>-</v>
      </c>
    </row>
    <row r="91" ht="15.75" customHeight="1">
      <c r="A91" s="17"/>
      <c r="B91" s="18"/>
      <c r="C91" s="18"/>
      <c r="D91" s="18"/>
      <c r="E91" s="18"/>
      <c r="F91" s="10" t="str">
        <f t="shared" si="1"/>
        <v>-</v>
      </c>
      <c r="G91" s="19"/>
      <c r="H91" s="10" t="str">
        <f t="shared" si="2"/>
        <v>-</v>
      </c>
      <c r="I91" s="18"/>
      <c r="J91" s="10" t="str">
        <f t="shared" si="3"/>
        <v>-</v>
      </c>
      <c r="K91" s="20" t="str">
        <f t="shared" si="4"/>
        <v>-</v>
      </c>
    </row>
    <row r="92" ht="15.75" customHeight="1">
      <c r="A92" s="17"/>
      <c r="B92" s="18"/>
      <c r="C92" s="18"/>
      <c r="D92" s="18"/>
      <c r="E92" s="18"/>
      <c r="F92" s="10" t="str">
        <f t="shared" si="1"/>
        <v>-</v>
      </c>
      <c r="G92" s="19"/>
      <c r="H92" s="10" t="str">
        <f t="shared" si="2"/>
        <v>-</v>
      </c>
      <c r="I92" s="18"/>
      <c r="J92" s="10" t="str">
        <f t="shared" si="3"/>
        <v>-</v>
      </c>
      <c r="K92" s="20" t="str">
        <f t="shared" si="4"/>
        <v>-</v>
      </c>
    </row>
    <row r="93" ht="15.75" customHeight="1">
      <c r="A93" s="17"/>
      <c r="B93" s="18"/>
      <c r="C93" s="18"/>
      <c r="D93" s="18"/>
      <c r="E93" s="18"/>
      <c r="F93" s="10" t="str">
        <f t="shared" si="1"/>
        <v>-</v>
      </c>
      <c r="G93" s="19"/>
      <c r="H93" s="10" t="str">
        <f t="shared" si="2"/>
        <v>-</v>
      </c>
      <c r="I93" s="18"/>
      <c r="J93" s="10" t="str">
        <f t="shared" si="3"/>
        <v>-</v>
      </c>
      <c r="K93" s="20" t="str">
        <f t="shared" si="4"/>
        <v>-</v>
      </c>
    </row>
    <row r="94" ht="15.75" customHeight="1">
      <c r="A94" s="17"/>
      <c r="B94" s="18"/>
      <c r="C94" s="18"/>
      <c r="D94" s="18"/>
      <c r="E94" s="18"/>
      <c r="F94" s="10" t="str">
        <f t="shared" si="1"/>
        <v>-</v>
      </c>
      <c r="G94" s="19"/>
      <c r="H94" s="10" t="str">
        <f t="shared" si="2"/>
        <v>-</v>
      </c>
      <c r="I94" s="18"/>
      <c r="J94" s="10" t="str">
        <f t="shared" si="3"/>
        <v>-</v>
      </c>
      <c r="K94" s="20" t="str">
        <f t="shared" si="4"/>
        <v>-</v>
      </c>
    </row>
    <row r="95" ht="15.75" customHeight="1">
      <c r="A95" s="17"/>
      <c r="B95" s="18"/>
      <c r="C95" s="18"/>
      <c r="D95" s="18"/>
      <c r="E95" s="18"/>
      <c r="F95" s="10" t="str">
        <f t="shared" si="1"/>
        <v>-</v>
      </c>
      <c r="G95" s="19"/>
      <c r="H95" s="10" t="str">
        <f t="shared" si="2"/>
        <v>-</v>
      </c>
      <c r="I95" s="18"/>
      <c r="J95" s="10" t="str">
        <f t="shared" si="3"/>
        <v>-</v>
      </c>
      <c r="K95" s="20" t="str">
        <f t="shared" si="4"/>
        <v>-</v>
      </c>
    </row>
    <row r="96" ht="15.75" customHeight="1">
      <c r="A96" s="17"/>
      <c r="B96" s="18"/>
      <c r="C96" s="18"/>
      <c r="D96" s="18"/>
      <c r="E96" s="18"/>
      <c r="F96" s="10" t="str">
        <f t="shared" si="1"/>
        <v>-</v>
      </c>
      <c r="G96" s="19"/>
      <c r="H96" s="10" t="str">
        <f t="shared" si="2"/>
        <v>-</v>
      </c>
      <c r="I96" s="18"/>
      <c r="J96" s="10" t="str">
        <f t="shared" si="3"/>
        <v>-</v>
      </c>
      <c r="K96" s="20" t="str">
        <f t="shared" si="4"/>
        <v>-</v>
      </c>
    </row>
    <row r="97" ht="15.75" customHeight="1">
      <c r="A97" s="17"/>
      <c r="B97" s="18"/>
      <c r="C97" s="18"/>
      <c r="D97" s="18"/>
      <c r="E97" s="18"/>
      <c r="F97" s="10" t="str">
        <f t="shared" si="1"/>
        <v>-</v>
      </c>
      <c r="G97" s="19"/>
      <c r="H97" s="10" t="str">
        <f t="shared" si="2"/>
        <v>-</v>
      </c>
      <c r="I97" s="18"/>
      <c r="J97" s="10" t="str">
        <f t="shared" si="3"/>
        <v>-</v>
      </c>
      <c r="K97" s="20" t="str">
        <f t="shared" si="4"/>
        <v>-</v>
      </c>
    </row>
    <row r="98" ht="15.75" customHeight="1">
      <c r="A98" s="17"/>
      <c r="B98" s="18"/>
      <c r="C98" s="18"/>
      <c r="D98" s="18"/>
      <c r="E98" s="18"/>
      <c r="F98" s="10" t="str">
        <f t="shared" si="1"/>
        <v>-</v>
      </c>
      <c r="G98" s="19"/>
      <c r="H98" s="10" t="str">
        <f t="shared" si="2"/>
        <v>-</v>
      </c>
      <c r="I98" s="18"/>
      <c r="J98" s="10" t="str">
        <f t="shared" si="3"/>
        <v>-</v>
      </c>
      <c r="K98" s="20" t="str">
        <f t="shared" si="4"/>
        <v>-</v>
      </c>
    </row>
    <row r="99" ht="15.75" customHeight="1">
      <c r="A99" s="17"/>
      <c r="B99" s="18"/>
      <c r="C99" s="18"/>
      <c r="D99" s="18"/>
      <c r="E99" s="18"/>
      <c r="F99" s="10" t="str">
        <f t="shared" si="1"/>
        <v>-</v>
      </c>
      <c r="G99" s="19"/>
      <c r="H99" s="10" t="str">
        <f t="shared" si="2"/>
        <v>-</v>
      </c>
      <c r="I99" s="18"/>
      <c r="J99" s="10" t="str">
        <f t="shared" si="3"/>
        <v>-</v>
      </c>
      <c r="K99" s="20" t="str">
        <f t="shared" si="4"/>
        <v>-</v>
      </c>
    </row>
    <row r="100" ht="15.75" customHeight="1">
      <c r="A100" s="17"/>
      <c r="B100" s="18"/>
      <c r="C100" s="18"/>
      <c r="D100" s="18"/>
      <c r="E100" s="18"/>
      <c r="F100" s="10" t="str">
        <f t="shared" si="1"/>
        <v>-</v>
      </c>
      <c r="G100" s="19"/>
      <c r="H100" s="10" t="str">
        <f t="shared" si="2"/>
        <v>-</v>
      </c>
      <c r="I100" s="18"/>
      <c r="J100" s="10" t="str">
        <f t="shared" si="3"/>
        <v>-</v>
      </c>
      <c r="K100" s="20" t="str">
        <f t="shared" si="4"/>
        <v>-</v>
      </c>
    </row>
    <row r="101" ht="15.75" customHeight="1">
      <c r="A101" s="17"/>
      <c r="B101" s="18"/>
      <c r="C101" s="18"/>
      <c r="D101" s="18"/>
      <c r="E101" s="18"/>
      <c r="F101" s="10" t="str">
        <f t="shared" si="1"/>
        <v>-</v>
      </c>
      <c r="G101" s="19"/>
      <c r="H101" s="10" t="str">
        <f t="shared" si="2"/>
        <v>-</v>
      </c>
      <c r="I101" s="18"/>
      <c r="J101" s="10" t="str">
        <f t="shared" si="3"/>
        <v>-</v>
      </c>
      <c r="K101" s="20" t="str">
        <f t="shared" si="4"/>
        <v>-</v>
      </c>
    </row>
    <row r="102" ht="15.75" customHeight="1">
      <c r="A102" s="17"/>
      <c r="B102" s="18"/>
      <c r="C102" s="18"/>
      <c r="D102" s="18"/>
      <c r="E102" s="18"/>
      <c r="F102" s="10" t="str">
        <f t="shared" si="1"/>
        <v>-</v>
      </c>
      <c r="G102" s="19"/>
      <c r="H102" s="10" t="str">
        <f t="shared" si="2"/>
        <v>-</v>
      </c>
      <c r="I102" s="18"/>
      <c r="J102" s="10" t="str">
        <f t="shared" si="3"/>
        <v>-</v>
      </c>
      <c r="K102" s="20" t="str">
        <f t="shared" si="4"/>
        <v>-</v>
      </c>
    </row>
    <row r="103" ht="15.75" customHeight="1">
      <c r="A103" s="17"/>
      <c r="B103" s="18"/>
      <c r="C103" s="18"/>
      <c r="D103" s="18"/>
      <c r="E103" s="18"/>
      <c r="F103" s="10" t="str">
        <f t="shared" si="1"/>
        <v>-</v>
      </c>
      <c r="G103" s="19"/>
      <c r="H103" s="10" t="str">
        <f t="shared" si="2"/>
        <v>-</v>
      </c>
      <c r="I103" s="18"/>
      <c r="J103" s="10" t="str">
        <f t="shared" si="3"/>
        <v>-</v>
      </c>
      <c r="K103" s="20" t="str">
        <f t="shared" si="4"/>
        <v>-</v>
      </c>
    </row>
    <row r="104" ht="15.75" customHeight="1">
      <c r="A104" s="17"/>
      <c r="B104" s="18"/>
      <c r="C104" s="18"/>
      <c r="D104" s="18"/>
      <c r="E104" s="18"/>
      <c r="F104" s="10" t="str">
        <f t="shared" si="1"/>
        <v>-</v>
      </c>
      <c r="G104" s="19"/>
      <c r="H104" s="10" t="str">
        <f t="shared" si="2"/>
        <v>-</v>
      </c>
      <c r="I104" s="18"/>
      <c r="J104" s="10" t="str">
        <f t="shared" si="3"/>
        <v>-</v>
      </c>
      <c r="K104" s="20" t="str">
        <f t="shared" si="4"/>
        <v>-</v>
      </c>
    </row>
    <row r="105" ht="15.75" customHeight="1">
      <c r="A105" s="17"/>
      <c r="B105" s="18"/>
      <c r="C105" s="18"/>
      <c r="D105" s="18"/>
      <c r="E105" s="18"/>
      <c r="F105" s="10" t="str">
        <f t="shared" si="1"/>
        <v>-</v>
      </c>
      <c r="G105" s="19"/>
      <c r="H105" s="10" t="str">
        <f t="shared" si="2"/>
        <v>-</v>
      </c>
      <c r="I105" s="18"/>
      <c r="J105" s="10" t="str">
        <f t="shared" si="3"/>
        <v>-</v>
      </c>
      <c r="K105" s="20" t="str">
        <f t="shared" si="4"/>
        <v>-</v>
      </c>
    </row>
  </sheetData>
  <mergeCells count="2">
    <mergeCell ref="A1:K1"/>
    <mergeCell ref="A2:K2"/>
  </mergeCells>
  <conditionalFormatting sqref="K6:K105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4" width="18.0"/>
    <col customWidth="1" min="5" max="5" width="15.0"/>
    <col customWidth="1" min="6" max="11" width="8.71"/>
  </cols>
  <sheetData>
    <row r="1" ht="24.0" customHeight="1">
      <c r="A1" s="1" t="s">
        <v>37</v>
      </c>
    </row>
    <row r="2" ht="24.0" customHeight="1">
      <c r="A2" t="s">
        <v>38</v>
      </c>
      <c r="B2" s="21" t="str">
        <f>Dashboard!B2</f>
        <v>2026</v>
      </c>
    </row>
    <row r="3">
      <c r="A3" t="s">
        <v>39</v>
      </c>
      <c r="B3" s="22">
        <v>1.0</v>
      </c>
    </row>
    <row r="5">
      <c r="A5" s="4" t="s">
        <v>40</v>
      </c>
      <c r="B5" s="4" t="s">
        <v>41</v>
      </c>
      <c r="C5" s="4" t="s">
        <v>42</v>
      </c>
      <c r="D5" s="4" t="s">
        <v>43</v>
      </c>
      <c r="E5" s="4" t="s">
        <v>44</v>
      </c>
    </row>
    <row r="6">
      <c r="A6" t="s">
        <v>45</v>
      </c>
      <c r="B6" s="18">
        <v>0.0</v>
      </c>
      <c r="C6" s="9" t="str">
        <f>SUMIFS(Movimientos!$G$6:$G$1005,Movimientos!$B$6:$B$1005,"Gasto",Movimientos!$C$6:$C$1005,A6,Movimientos!$A$6:$A$1005,"&gt;="&amp;DATE($B$2,$B$3,1),Movimientos!$A$6:$A$1005,"&lt;"&amp;DATE($B$2,$B$3+1,1))</f>
        <v>-</v>
      </c>
      <c r="D6" s="10" t="str">
        <f t="shared" ref="D6:D16" si="1">B6-C6</f>
        <v>-</v>
      </c>
      <c r="E6" s="20" t="str">
        <f t="shared" ref="E6:E16" si="2">IFERROR(C6/B6,0)</f>
        <v>-</v>
      </c>
    </row>
    <row r="7">
      <c r="A7" t="s">
        <v>46</v>
      </c>
      <c r="B7" s="18">
        <v>0.0</v>
      </c>
      <c r="C7" s="9" t="str">
        <f>SUMIFS(Movimientos!$G$6:$G$1005,Movimientos!$B$6:$B$1005,"Gasto",Movimientos!$C$6:$C$1005,A7,Movimientos!$A$6:$A$1005,"&gt;="&amp;DATE($B$2,$B$3,1),Movimientos!$A$6:$A$1005,"&lt;"&amp;DATE($B$2,$B$3+1,1))</f>
        <v>-</v>
      </c>
      <c r="D7" s="10" t="str">
        <f t="shared" si="1"/>
        <v>-</v>
      </c>
      <c r="E7" s="20" t="str">
        <f t="shared" si="2"/>
        <v>-</v>
      </c>
    </row>
    <row r="8">
      <c r="A8" t="s">
        <v>47</v>
      </c>
      <c r="B8" s="18">
        <v>0.0</v>
      </c>
      <c r="C8" s="9" t="str">
        <f>SUMIFS(Movimientos!$G$6:$G$1005,Movimientos!$B$6:$B$1005,"Gasto",Movimientos!$C$6:$C$1005,A8,Movimientos!$A$6:$A$1005,"&gt;="&amp;DATE($B$2,$B$3,1),Movimientos!$A$6:$A$1005,"&lt;"&amp;DATE($B$2,$B$3+1,1))</f>
        <v>-</v>
      </c>
      <c r="D8" s="10" t="str">
        <f t="shared" si="1"/>
        <v>-</v>
      </c>
      <c r="E8" s="20" t="str">
        <f t="shared" si="2"/>
        <v>-</v>
      </c>
    </row>
    <row r="9">
      <c r="A9" t="s">
        <v>48</v>
      </c>
      <c r="B9" s="18">
        <v>0.0</v>
      </c>
      <c r="C9" s="9" t="str">
        <f>SUMIFS(Movimientos!$G$6:$G$1005,Movimientos!$B$6:$B$1005,"Gasto",Movimientos!$C$6:$C$1005,A9,Movimientos!$A$6:$A$1005,"&gt;="&amp;DATE($B$2,$B$3,1),Movimientos!$A$6:$A$1005,"&lt;"&amp;DATE($B$2,$B$3+1,1))</f>
        <v>-</v>
      </c>
      <c r="D9" s="10" t="str">
        <f t="shared" si="1"/>
        <v>-</v>
      </c>
      <c r="E9" s="20" t="str">
        <f t="shared" si="2"/>
        <v>-</v>
      </c>
    </row>
    <row r="10">
      <c r="A10" t="s">
        <v>49</v>
      </c>
      <c r="B10" s="18">
        <v>0.0</v>
      </c>
      <c r="C10" s="9" t="str">
        <f>SUMIFS(Movimientos!$G$6:$G$1005,Movimientos!$B$6:$B$1005,"Gasto",Movimientos!$C$6:$C$1005,A10,Movimientos!$A$6:$A$1005,"&gt;="&amp;DATE($B$2,$B$3,1),Movimientos!$A$6:$A$1005,"&lt;"&amp;DATE($B$2,$B$3+1,1))</f>
        <v>-</v>
      </c>
      <c r="D10" s="10" t="str">
        <f t="shared" si="1"/>
        <v>-</v>
      </c>
      <c r="E10" s="20" t="str">
        <f t="shared" si="2"/>
        <v>-</v>
      </c>
    </row>
    <row r="11">
      <c r="A11" t="s">
        <v>50</v>
      </c>
      <c r="B11" s="18">
        <v>0.0</v>
      </c>
      <c r="C11" s="9" t="str">
        <f>SUMIFS(Movimientos!$G$6:$G$1005,Movimientos!$B$6:$B$1005,"Gasto",Movimientos!$C$6:$C$1005,A11,Movimientos!$A$6:$A$1005,"&gt;="&amp;DATE($B$2,$B$3,1),Movimientos!$A$6:$A$1005,"&lt;"&amp;DATE($B$2,$B$3+1,1))</f>
        <v>-</v>
      </c>
      <c r="D11" s="10" t="str">
        <f t="shared" si="1"/>
        <v>-</v>
      </c>
      <c r="E11" s="20" t="str">
        <f t="shared" si="2"/>
        <v>-</v>
      </c>
    </row>
    <row r="12">
      <c r="A12" t="s">
        <v>51</v>
      </c>
      <c r="B12" s="18">
        <v>0.0</v>
      </c>
      <c r="C12" s="9" t="str">
        <f>SUMIFS(Movimientos!$G$6:$G$1005,Movimientos!$B$6:$B$1005,"Gasto",Movimientos!$C$6:$C$1005,A12,Movimientos!$A$6:$A$1005,"&gt;="&amp;DATE($B$2,$B$3,1),Movimientos!$A$6:$A$1005,"&lt;"&amp;DATE($B$2,$B$3+1,1))</f>
        <v>-</v>
      </c>
      <c r="D12" s="10" t="str">
        <f t="shared" si="1"/>
        <v>-</v>
      </c>
      <c r="E12" s="20" t="str">
        <f t="shared" si="2"/>
        <v>-</v>
      </c>
    </row>
    <row r="13">
      <c r="A13" t="s">
        <v>52</v>
      </c>
      <c r="B13" s="18">
        <v>0.0</v>
      </c>
      <c r="C13" s="9" t="str">
        <f>SUMIFS(Movimientos!$G$6:$G$1005,Movimientos!$B$6:$B$1005,"Gasto",Movimientos!$C$6:$C$1005,A13,Movimientos!$A$6:$A$1005,"&gt;="&amp;DATE($B$2,$B$3,1),Movimientos!$A$6:$A$1005,"&lt;"&amp;DATE($B$2,$B$3+1,1))</f>
        <v>-</v>
      </c>
      <c r="D13" s="10" t="str">
        <f t="shared" si="1"/>
        <v>-</v>
      </c>
      <c r="E13" s="20" t="str">
        <f t="shared" si="2"/>
        <v>-</v>
      </c>
    </row>
    <row r="14">
      <c r="A14" t="s">
        <v>53</v>
      </c>
      <c r="B14" s="18">
        <v>0.0</v>
      </c>
      <c r="C14" s="9" t="str">
        <f>SUMIFS(Movimientos!$G$6:$G$1005,Movimientos!$B$6:$B$1005,"Gasto",Movimientos!$C$6:$C$1005,A14,Movimientos!$A$6:$A$1005,"&gt;="&amp;DATE($B$2,$B$3,1),Movimientos!$A$6:$A$1005,"&lt;"&amp;DATE($B$2,$B$3+1,1))</f>
        <v>-</v>
      </c>
      <c r="D14" s="10" t="str">
        <f t="shared" si="1"/>
        <v>-</v>
      </c>
      <c r="E14" s="20" t="str">
        <f t="shared" si="2"/>
        <v>-</v>
      </c>
    </row>
    <row r="15">
      <c r="A15" t="s">
        <v>54</v>
      </c>
      <c r="B15" s="18">
        <v>0.0</v>
      </c>
      <c r="C15" s="9" t="str">
        <f>SUMIFS(Movimientos!$G$6:$G$1005,Movimientos!$B$6:$B$1005,"Gasto",Movimientos!$C$6:$C$1005,A15,Movimientos!$A$6:$A$1005,"&gt;="&amp;DATE($B$2,$B$3,1),Movimientos!$A$6:$A$1005,"&lt;"&amp;DATE($B$2,$B$3+1,1))</f>
        <v>-</v>
      </c>
      <c r="D15" s="10" t="str">
        <f t="shared" si="1"/>
        <v>-</v>
      </c>
      <c r="E15" s="20" t="str">
        <f t="shared" si="2"/>
        <v>-</v>
      </c>
    </row>
    <row r="16">
      <c r="A16" t="s">
        <v>55</v>
      </c>
      <c r="B16" s="18">
        <v>0.0</v>
      </c>
      <c r="C16" s="9" t="str">
        <f>SUMIFS(Movimientos!$G$6:$G$1005,Movimientos!$B$6:$B$1005,"Gasto",Movimientos!$C$6:$C$1005,A16,Movimientos!$A$6:$A$1005,"&gt;="&amp;DATE($B$2,$B$3,1),Movimientos!$A$6:$A$1005,"&lt;"&amp;DATE($B$2,$B$3+1,1))</f>
        <v>-</v>
      </c>
      <c r="D16" s="10" t="str">
        <f t="shared" si="1"/>
        <v>-</v>
      </c>
      <c r="E16" s="20" t="str">
        <f t="shared" si="2"/>
        <v>-</v>
      </c>
    </row>
    <row r="18">
      <c r="A18" s="23" t="s">
        <v>56</v>
      </c>
      <c r="B18" s="24" t="str">
        <f t="shared" ref="B18:C18" si="3">SUM(B6:B16)</f>
        <v>-</v>
      </c>
      <c r="C18" s="24" t="str">
        <f t="shared" si="3"/>
        <v>-</v>
      </c>
      <c r="D18" s="24" t="str">
        <f>B18-C18</f>
        <v>-</v>
      </c>
      <c r="E18" s="25" t="str">
        <f>IFERROR(C18/B18,0)</f>
        <v>-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E1"/>
  </mergeCells>
  <conditionalFormatting sqref="E6:E18">
    <cfRule type="cellIs" dxfId="2" priority="1" operator="greaterThan">
      <formula>1</formula>
    </cfRule>
  </conditionalFormatting>
  <conditionalFormatting sqref="D6:D18">
    <cfRule type="expression" dxfId="1" priority="2">
      <formula>D6&lt;0</formula>
    </cfRule>
  </conditionalFormatting>
  <dataValidations>
    <dataValidation type="list" allowBlank="1" sqref="B3">
      <formula1>"1,2,3,4,5,6,7,8,9,10,11,12"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26.0"/>
    <col customWidth="1" min="5" max="11" width="8.71"/>
  </cols>
  <sheetData>
    <row r="1" ht="24.0" customHeight="1">
      <c r="A1" s="4" t="s">
        <v>17</v>
      </c>
      <c r="B1" s="4" t="s">
        <v>57</v>
      </c>
      <c r="C1" s="4" t="s">
        <v>20</v>
      </c>
      <c r="D1" s="4" t="s">
        <v>58</v>
      </c>
    </row>
    <row r="2" ht="24.0" customHeight="1">
      <c r="A2" s="26" t="s">
        <v>59</v>
      </c>
      <c r="B2" s="26" t="s">
        <v>60</v>
      </c>
      <c r="C2" s="26" t="s">
        <v>61</v>
      </c>
      <c r="D2" s="26" t="s">
        <v>62</v>
      </c>
    </row>
    <row r="3">
      <c r="A3" s="26" t="s">
        <v>63</v>
      </c>
      <c r="B3" s="26" t="s">
        <v>64</v>
      </c>
      <c r="C3" s="26" t="s">
        <v>65</v>
      </c>
      <c r="D3" s="26" t="s">
        <v>66</v>
      </c>
    </row>
    <row r="4">
      <c r="A4" s="26"/>
      <c r="B4" s="26" t="s">
        <v>67</v>
      </c>
      <c r="C4" s="26" t="s">
        <v>68</v>
      </c>
      <c r="D4" s="26"/>
    </row>
    <row r="5">
      <c r="A5" s="26"/>
      <c r="B5" s="26" t="s">
        <v>45</v>
      </c>
      <c r="C5" s="26" t="s">
        <v>69</v>
      </c>
      <c r="D5" s="26"/>
    </row>
    <row r="6">
      <c r="A6" s="26"/>
      <c r="B6" s="26" t="s">
        <v>46</v>
      </c>
      <c r="C6" s="26"/>
      <c r="D6" s="26"/>
    </row>
    <row r="7">
      <c r="A7" s="26"/>
      <c r="B7" s="26" t="s">
        <v>47</v>
      </c>
      <c r="C7" s="26"/>
      <c r="D7" s="26"/>
    </row>
    <row r="8">
      <c r="A8" s="26"/>
      <c r="B8" s="26" t="s">
        <v>48</v>
      </c>
      <c r="C8" s="26"/>
      <c r="D8" s="26"/>
    </row>
    <row r="9">
      <c r="A9" s="26"/>
      <c r="B9" s="26" t="s">
        <v>49</v>
      </c>
      <c r="C9" s="26"/>
      <c r="D9" s="26"/>
    </row>
    <row r="10">
      <c r="A10" s="26"/>
      <c r="B10" s="26" t="s">
        <v>50</v>
      </c>
      <c r="C10" s="26"/>
      <c r="D10" s="26"/>
    </row>
    <row r="11">
      <c r="A11" s="26"/>
      <c r="B11" s="26" t="s">
        <v>51</v>
      </c>
      <c r="C11" s="26"/>
      <c r="D11" s="26"/>
    </row>
    <row r="12">
      <c r="A12" s="26"/>
      <c r="B12" s="26" t="s">
        <v>52</v>
      </c>
      <c r="C12" s="26"/>
      <c r="D12" s="26"/>
    </row>
    <row r="13">
      <c r="A13" s="26"/>
      <c r="B13" s="26" t="s">
        <v>53</v>
      </c>
      <c r="C13" s="26"/>
      <c r="D13" s="26"/>
    </row>
    <row r="14">
      <c r="A14" s="26"/>
      <c r="B14" s="26" t="s">
        <v>54</v>
      </c>
      <c r="C14" s="26"/>
      <c r="D14" s="26"/>
    </row>
    <row r="15">
      <c r="A15" s="26"/>
      <c r="B15" s="26" t="s">
        <v>55</v>
      </c>
      <c r="C15" s="26"/>
      <c r="D15" s="26"/>
    </row>
    <row r="16">
      <c r="A16" s="26"/>
      <c r="B16" s="26"/>
      <c r="C16" s="26"/>
      <c r="D16" s="26"/>
    </row>
    <row r="17">
      <c r="A17" s="26"/>
      <c r="B17" s="26"/>
      <c r="C17" s="26"/>
      <c r="D17" s="26"/>
    </row>
    <row r="18">
      <c r="A18" s="26"/>
      <c r="B18" s="26"/>
      <c r="C18" s="26"/>
      <c r="D18" s="26"/>
    </row>
    <row r="19">
      <c r="A19" s="26"/>
      <c r="B19" s="26"/>
      <c r="C19" s="26"/>
      <c r="D19" s="26"/>
    </row>
    <row r="20">
      <c r="A20" s="26"/>
      <c r="B20" s="26"/>
      <c r="C20" s="26"/>
      <c r="D20" s="2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